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CONTATOS" sheetId="2" state="visible" r:id="rId2"/>
    <sheet name="AUDITORIA" sheetId="3" state="visible" r:id="rId3"/>
    <sheet name="CAMPANHAS" sheetId="4" state="visible" r:id="rId4"/>
    <sheet name="EVENTOS" sheetId="5" state="visible" r:id="rId5"/>
    <sheet name="PLAC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$&quot; #,##0.00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FF7A2E3C"/>
      <sz val="14"/>
    </font>
    <font>
      <b val="1"/>
      <color rgb="FF1B1A18"/>
      <sz val="11"/>
    </font>
    <font>
      <b val="1"/>
      <color rgb="FFFFFFFF"/>
      <sz val="10"/>
    </font>
    <font>
      <i val="1"/>
      <color rgb="FF7C7770"/>
      <sz val="9"/>
    </font>
    <font>
      <b val="1"/>
    </font>
    <font>
      <b val="1"/>
      <color rgb="FF7A2E3C"/>
    </font>
    <font>
      <b val="1"/>
      <color rgb="FF7A2E3C"/>
      <sz val="13"/>
    </font>
  </fonts>
  <fills count="4">
    <fill>
      <patternFill/>
    </fill>
    <fill>
      <patternFill patternType="gray125"/>
    </fill>
    <fill>
      <patternFill patternType="solid">
        <fgColor rgb="FF7A2E3C"/>
      </patternFill>
    </fill>
    <fill>
      <patternFill patternType="solid">
        <fgColor rgb="FF6E7F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6" fontId="0" fillId="0" borderId="0" pivotButton="0" quotePrefix="0" xfId="0"/>
    <xf numFmtId="165" fontId="7" fillId="0" borderId="0" pivotButton="0" quotePrefix="0" xfId="0"/>
    <xf numFmtId="165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EXPANSION · BASE DO CLIENTE — TEMPLATE PADRÃO v1.0</t>
        </is>
      </c>
      <c r="B1" s="2" t="inlineStr"/>
    </row>
    <row r="2">
      <c r="A2" t="inlineStr"/>
      <c r="B2" s="2" t="inlineStr"/>
    </row>
    <row r="3">
      <c r="A3" t="inlineStr">
        <is>
          <t>Uma cópia por cliente. O nome do arquivo é: BASE-&lt;CLIENTE&gt;-AAAA-MM.xlsx</t>
        </is>
      </c>
      <c r="B3" s="2" t="inlineStr"/>
    </row>
    <row r="4">
      <c r="A4" t="inlineStr">
        <is>
          <t>Este é o padrão único da casa. NÃO mudar nomes de coluna, NÃO inserir coluna no meio.</t>
        </is>
      </c>
      <c r="B4" s="2" t="inlineStr"/>
    </row>
    <row r="5">
      <c r="A5" t="inlineStr">
        <is>
          <t>Se cada cliente tiver um formato diferente, em 12 meses não existe ativo — existem 15 planilhas.</t>
        </is>
      </c>
      <c r="B5" s="2" t="inlineStr"/>
    </row>
    <row r="6">
      <c r="A6" t="inlineStr"/>
      <c r="B6" s="2" t="inlineStr"/>
    </row>
    <row r="7">
      <c r="A7" s="3" t="inlineStr">
        <is>
          <t>ABA</t>
        </is>
      </c>
      <c r="B7" s="4" t="inlineStr">
        <is>
          <t>O QUE É</t>
        </is>
      </c>
    </row>
    <row r="8">
      <c r="A8" t="inlineStr">
        <is>
          <t>CONTATOS</t>
        </is>
      </c>
      <c r="B8" s="2" t="inlineStr">
        <is>
          <t>A base. Uma linha por pessoa que já comprou. É a única aba que se preenche na mão.</t>
        </is>
      </c>
    </row>
    <row r="9">
      <c r="A9" t="inlineStr">
        <is>
          <t>AUDITORIA</t>
        </is>
      </c>
      <c r="B9" s="2" t="inlineStr">
        <is>
          <t>Calcula sozinha a partir de CONTATOS. É a página que fecha a venda.</t>
        </is>
      </c>
    </row>
    <row r="10">
      <c r="A10" t="inlineStr">
        <is>
          <t>CAMPANHAS</t>
        </is>
      </c>
      <c r="B10" s="2" t="inlineStr">
        <is>
          <t>Uma linha por campanha disparada. Preencher no fechamento de cada campanha.</t>
        </is>
      </c>
    </row>
    <row r="11">
      <c r="A11" t="inlineStr">
        <is>
          <t>EVENTOS</t>
        </is>
      </c>
      <c r="B11" s="2" t="inlineStr">
        <is>
          <t>O log. Cada envio, resposta, venda e opt-out. Alimentado pela automação (ou na mão no mês 1).</t>
        </is>
      </c>
    </row>
    <row r="12">
      <c r="A12" t="inlineStr">
        <is>
          <t>PLACAR</t>
        </is>
      </c>
      <c r="B12" s="2" t="inlineStr">
        <is>
          <t>Uma linha por semana. É o que vai para o grupo toda segunda.</t>
        </is>
      </c>
    </row>
    <row r="13">
      <c r="A13" t="inlineStr"/>
      <c r="B13" s="2" t="inlineStr"/>
    </row>
    <row r="14">
      <c r="A14" s="3" t="inlineStr">
        <is>
          <t>ORDEM DE PREENCHIMENTO</t>
        </is>
      </c>
      <c r="B14" s="4" t="inlineStr"/>
    </row>
    <row r="15">
      <c r="A15" t="inlineStr">
        <is>
          <t>1</t>
        </is>
      </c>
      <c r="B15" s="2" t="inlineStr">
        <is>
          <t>Colar a base do cliente em CONTATOS — colunas A a I. As colunas J a M calculam sozinhas.</t>
        </is>
      </c>
    </row>
    <row r="16">
      <c r="A16" t="inlineStr">
        <is>
          <t>2</t>
        </is>
      </c>
      <c r="B16" s="2" t="inlineStr">
        <is>
          <t>Abrir AUDITORIA. Os números já estarão lá. É isso que se apresenta ao cliente.</t>
        </is>
      </c>
    </row>
    <row r="17">
      <c r="A17" t="inlineStr">
        <is>
          <t>3</t>
        </is>
      </c>
      <c r="B17" s="2" t="inlineStr">
        <is>
          <t>Escolher o segmento da campanha e registrar em CAMPANHAS.</t>
        </is>
      </c>
    </row>
    <row r="18">
      <c r="A18" t="inlineStr">
        <is>
          <t>4</t>
        </is>
      </c>
      <c r="B18" s="2" t="inlineStr">
        <is>
          <t>Após o disparo, lançar as respostas e vendas em EVENTOS.</t>
        </is>
      </c>
    </row>
    <row r="19">
      <c r="A19" t="inlineStr">
        <is>
          <t>5</t>
        </is>
      </c>
      <c r="B19" s="2" t="inlineStr">
        <is>
          <t>Toda segunda, preencher uma linha de PLACAR e mandar no grupo.</t>
        </is>
      </c>
    </row>
    <row r="20">
      <c r="A20" t="inlineStr"/>
      <c r="B20" s="2" t="inlineStr"/>
    </row>
    <row r="21">
      <c r="A21" s="3" t="inlineStr">
        <is>
          <t>REGRAS QUE NÃO SE QUEBRAM</t>
        </is>
      </c>
      <c r="B21" s="4" t="inlineStr"/>
    </row>
    <row r="22">
      <c r="A22" t="inlineStr">
        <is>
          <t>Telefone</t>
        </is>
      </c>
      <c r="B22" s="2" t="inlineStr">
        <is>
          <t>Sempre com DDD, só números: 11987654321. Sem +55, sem parênteses, sem traço.</t>
        </is>
      </c>
    </row>
    <row r="23">
      <c r="A23" t="inlineStr">
        <is>
          <t>Datas</t>
        </is>
      </c>
      <c r="B23" s="2" t="inlineStr">
        <is>
          <t>Formato AAAA-MM-DD. Sempre.</t>
        </is>
      </c>
    </row>
    <row r="24">
      <c r="A24" t="inlineStr">
        <is>
          <t>Valores</t>
        </is>
      </c>
      <c r="B24" s="2" t="inlineStr">
        <is>
          <t>Só número. Sem R$, sem ponto de milhar.</t>
        </is>
      </c>
    </row>
    <row r="25">
      <c r="A25" t="inlineStr">
        <is>
          <t>Opt-out</t>
        </is>
      </c>
      <c r="B25" s="2" t="inlineStr">
        <is>
          <t>Quem pediu para sair recebe S na coluna OPTOUT e NUNCA MAIS entra em campanha. Sem exceção.</t>
        </is>
      </c>
    </row>
    <row r="26">
      <c r="A26" t="inlineStr">
        <is>
          <t>Dúvida</t>
        </is>
      </c>
      <c r="B26" s="2" t="inlineStr">
        <is>
          <t>Na dúvida sobre se é cliente ou fornecedor: não entra. Mandar campanha para o fornecedor dela custa o contrato.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6" customWidth="1" min="4" max="4"/>
    <col width="16" customWidth="1" min="5" max="5"/>
    <col width="11" customWidth="1" min="6" max="6"/>
    <col width="13" customWidth="1" min="7" max="7"/>
    <col width="22" customWidth="1" min="8" max="8"/>
    <col width="14" customWidth="1" min="9" max="9"/>
    <col width="13" customWidth="1" min="10" max="10"/>
    <col width="15" customWidth="1" min="11" max="11"/>
    <col width="12" customWidth="1" min="12" max="12"/>
    <col width="16" customWidth="1" min="13" max="13"/>
    <col width="9" customWidth="1" min="14" max="14"/>
  </cols>
  <sheetData>
    <row r="1">
      <c r="A1" s="5" t="inlineStr">
        <is>
          <t>ID</t>
        </is>
      </c>
      <c r="B1" s="5" t="inlineStr">
        <is>
          <t>NOME</t>
        </is>
      </c>
      <c r="C1" s="5" t="inlineStr">
        <is>
          <t>TELEFONE</t>
        </is>
      </c>
      <c r="D1" s="5" t="inlineStr">
        <is>
          <t>DATA_1A_COMPRA</t>
        </is>
      </c>
      <c r="E1" s="5" t="inlineStr">
        <is>
          <t>DATA_ULT_COMPRA</t>
        </is>
      </c>
      <c r="F1" s="5" t="inlineStr">
        <is>
          <t>N_COMPRAS</t>
        </is>
      </c>
      <c r="G1" s="5" t="inlineStr">
        <is>
          <t>VALOR_TOTAL</t>
        </is>
      </c>
      <c r="H1" s="5" t="inlineStr">
        <is>
          <t>CATEGORIA_ULT_PRODUTO</t>
        </is>
      </c>
      <c r="I1" s="5" t="inlineStr">
        <is>
          <t>ORIGEM</t>
        </is>
      </c>
      <c r="J1" s="5" t="inlineStr">
        <is>
          <t>TICKET_MEDIO</t>
        </is>
      </c>
      <c r="K1" s="5" t="inlineStr">
        <is>
          <t>DIAS_SEM_COMPRAR</t>
        </is>
      </c>
      <c r="L1" s="5" t="inlineStr">
        <is>
          <t>FAIXA</t>
        </is>
      </c>
      <c r="M1" s="5" t="inlineStr">
        <is>
          <t>STATUS_REGUA</t>
        </is>
      </c>
      <c r="N1" s="5" t="inlineStr">
        <is>
          <t>OPTOUT</t>
        </is>
      </c>
    </row>
    <row r="2">
      <c r="D2" s="6" t="n"/>
      <c r="E2" s="6" t="n"/>
      <c r="G2" s="7" t="n"/>
      <c r="J2" s="7">
        <f>IFERROR(G2/F2,"")</f>
        <v/>
      </c>
      <c r="K2">
        <f>IFERROR(TODAY()-E2,"")</f>
        <v/>
      </c>
      <c r="L2">
        <f>IFERROR(IF(K2&lt;=90,"ATIVO",IF(K2&lt;=365,"MORNO","DORMENTE")),"")</f>
        <v/>
      </c>
    </row>
    <row r="3">
      <c r="D3" s="6" t="n"/>
      <c r="E3" s="6" t="n"/>
      <c r="G3" s="7" t="n"/>
      <c r="J3" s="7">
        <f>IFERROR(G3/F3,"")</f>
        <v/>
      </c>
      <c r="K3">
        <f>IFERROR(TODAY()-E3,"")</f>
        <v/>
      </c>
      <c r="L3">
        <f>IFERROR(IF(K3&lt;=90,"ATIVO",IF(K3&lt;=365,"MORNO","DORMENTE")),"")</f>
        <v/>
      </c>
    </row>
    <row r="4">
      <c r="D4" s="6" t="n"/>
      <c r="E4" s="6" t="n"/>
      <c r="G4" s="7" t="n"/>
      <c r="J4" s="7">
        <f>IFERROR(G4/F4,"")</f>
        <v/>
      </c>
      <c r="K4">
        <f>IFERROR(TODAY()-E4,"")</f>
        <v/>
      </c>
      <c r="L4">
        <f>IFERROR(IF(K4&lt;=90,"ATIVO",IF(K4&lt;=365,"MORNO","DORMENTE")),"")</f>
        <v/>
      </c>
    </row>
    <row r="5">
      <c r="D5" s="6" t="n"/>
      <c r="E5" s="6" t="n"/>
      <c r="G5" s="7" t="n"/>
      <c r="J5" s="7">
        <f>IFERROR(G5/F5,"")</f>
        <v/>
      </c>
      <c r="K5">
        <f>IFERROR(TODAY()-E5,"")</f>
        <v/>
      </c>
      <c r="L5">
        <f>IFERROR(IF(K5&lt;=90,"ATIVO",IF(K5&lt;=365,"MORNO","DORMENTE")),"")</f>
        <v/>
      </c>
    </row>
    <row r="6">
      <c r="D6" s="6" t="n"/>
      <c r="E6" s="6" t="n"/>
      <c r="G6" s="7" t="n"/>
      <c r="J6" s="7">
        <f>IFERROR(G6/F6,"")</f>
        <v/>
      </c>
      <c r="K6">
        <f>IFERROR(TODAY()-E6,"")</f>
        <v/>
      </c>
      <c r="L6">
        <f>IFERROR(IF(K6&lt;=90,"ATIVO",IF(K6&lt;=365,"MORNO","DORMENTE")),"")</f>
        <v/>
      </c>
    </row>
    <row r="7">
      <c r="D7" s="6" t="n"/>
      <c r="E7" s="6" t="n"/>
      <c r="G7" s="7" t="n"/>
      <c r="J7" s="7">
        <f>IFERROR(G7/F7,"")</f>
        <v/>
      </c>
      <c r="K7">
        <f>IFERROR(TODAY()-E7,"")</f>
        <v/>
      </c>
      <c r="L7">
        <f>IFERROR(IF(K7&lt;=90,"ATIVO",IF(K7&lt;=365,"MORNO","DORMENTE")),"")</f>
        <v/>
      </c>
    </row>
    <row r="8">
      <c r="D8" s="6" t="n"/>
      <c r="E8" s="6" t="n"/>
      <c r="G8" s="7" t="n"/>
      <c r="J8" s="7">
        <f>IFERROR(G8/F8,"")</f>
        <v/>
      </c>
      <c r="K8">
        <f>IFERROR(TODAY()-E8,"")</f>
        <v/>
      </c>
      <c r="L8">
        <f>IFERROR(IF(K8&lt;=90,"ATIVO",IF(K8&lt;=365,"MORNO","DORMENTE")),"")</f>
        <v/>
      </c>
    </row>
    <row r="9">
      <c r="D9" s="6" t="n"/>
      <c r="E9" s="6" t="n"/>
      <c r="G9" s="7" t="n"/>
      <c r="J9" s="7">
        <f>IFERROR(G9/F9,"")</f>
        <v/>
      </c>
      <c r="K9">
        <f>IFERROR(TODAY()-E9,"")</f>
        <v/>
      </c>
      <c r="L9">
        <f>IFERROR(IF(K9&lt;=90,"ATIVO",IF(K9&lt;=365,"MORNO","DORMENTE")),"")</f>
        <v/>
      </c>
    </row>
    <row r="10">
      <c r="D10" s="6" t="n"/>
      <c r="E10" s="6" t="n"/>
      <c r="G10" s="7" t="n"/>
      <c r="J10" s="7">
        <f>IFERROR(G10/F10,"")</f>
        <v/>
      </c>
      <c r="K10">
        <f>IFERROR(TODAY()-E10,"")</f>
        <v/>
      </c>
      <c r="L10">
        <f>IFERROR(IF(K10&lt;=90,"ATIVO",IF(K10&lt;=365,"MORNO","DORMENTE")),"")</f>
        <v/>
      </c>
    </row>
    <row r="11">
      <c r="D11" s="6" t="n"/>
      <c r="E11" s="6" t="n"/>
      <c r="G11" s="7" t="n"/>
      <c r="J11" s="7">
        <f>IFERROR(G11/F11,"")</f>
        <v/>
      </c>
      <c r="K11">
        <f>IFERROR(TODAY()-E11,"")</f>
        <v/>
      </c>
      <c r="L11">
        <f>IFERROR(IF(K11&lt;=90,"ATIVO",IF(K11&lt;=365,"MORNO","DORMENTE")),"")</f>
        <v/>
      </c>
    </row>
    <row r="12">
      <c r="D12" s="6" t="n"/>
      <c r="E12" s="6" t="n"/>
      <c r="G12" s="7" t="n"/>
      <c r="J12" s="7">
        <f>IFERROR(G12/F12,"")</f>
        <v/>
      </c>
      <c r="K12">
        <f>IFERROR(TODAY()-E12,"")</f>
        <v/>
      </c>
      <c r="L12">
        <f>IFERROR(IF(K12&lt;=90,"ATIVO",IF(K12&lt;=365,"MORNO","DORMENTE")),"")</f>
        <v/>
      </c>
    </row>
    <row r="13">
      <c r="D13" s="6" t="n"/>
      <c r="E13" s="6" t="n"/>
      <c r="G13" s="7" t="n"/>
      <c r="J13" s="7">
        <f>IFERROR(G13/F13,"")</f>
        <v/>
      </c>
      <c r="K13">
        <f>IFERROR(TODAY()-E13,"")</f>
        <v/>
      </c>
      <c r="L13">
        <f>IFERROR(IF(K13&lt;=90,"ATIVO",IF(K13&lt;=365,"MORNO","DORMENTE")),"")</f>
        <v/>
      </c>
    </row>
    <row r="14">
      <c r="D14" s="6" t="n"/>
      <c r="E14" s="6" t="n"/>
      <c r="G14" s="7" t="n"/>
      <c r="J14" s="7">
        <f>IFERROR(G14/F14,"")</f>
        <v/>
      </c>
      <c r="K14">
        <f>IFERROR(TODAY()-E14,"")</f>
        <v/>
      </c>
      <c r="L14">
        <f>IFERROR(IF(K14&lt;=90,"ATIVO",IF(K14&lt;=365,"MORNO","DORMENTE")),"")</f>
        <v/>
      </c>
    </row>
    <row r="15">
      <c r="D15" s="6" t="n"/>
      <c r="E15" s="6" t="n"/>
      <c r="G15" s="7" t="n"/>
      <c r="J15" s="7">
        <f>IFERROR(G15/F15,"")</f>
        <v/>
      </c>
      <c r="K15">
        <f>IFERROR(TODAY()-E15,"")</f>
        <v/>
      </c>
      <c r="L15">
        <f>IFERROR(IF(K15&lt;=90,"ATIVO",IF(K15&lt;=365,"MORNO","DORMENTE")),"")</f>
        <v/>
      </c>
    </row>
    <row r="16">
      <c r="D16" s="6" t="n"/>
      <c r="E16" s="6" t="n"/>
      <c r="G16" s="7" t="n"/>
      <c r="J16" s="7">
        <f>IFERROR(G16/F16,"")</f>
        <v/>
      </c>
      <c r="K16">
        <f>IFERROR(TODAY()-E16,"")</f>
        <v/>
      </c>
      <c r="L16">
        <f>IFERROR(IF(K16&lt;=90,"ATIVO",IF(K16&lt;=365,"MORNO","DORMENTE")),"")</f>
        <v/>
      </c>
    </row>
    <row r="17">
      <c r="D17" s="6" t="n"/>
      <c r="E17" s="6" t="n"/>
      <c r="G17" s="7" t="n"/>
      <c r="J17" s="7">
        <f>IFERROR(G17/F17,"")</f>
        <v/>
      </c>
      <c r="K17">
        <f>IFERROR(TODAY()-E17,"")</f>
        <v/>
      </c>
      <c r="L17">
        <f>IFERROR(IF(K17&lt;=90,"ATIVO",IF(K17&lt;=365,"MORNO","DORMENTE")),"")</f>
        <v/>
      </c>
    </row>
    <row r="18">
      <c r="D18" s="6" t="n"/>
      <c r="E18" s="6" t="n"/>
      <c r="G18" s="7" t="n"/>
      <c r="J18" s="7">
        <f>IFERROR(G18/F18,"")</f>
        <v/>
      </c>
      <c r="K18">
        <f>IFERROR(TODAY()-E18,"")</f>
        <v/>
      </c>
      <c r="L18">
        <f>IFERROR(IF(K18&lt;=90,"ATIVO",IF(K18&lt;=365,"MORNO","DORMENTE")),"")</f>
        <v/>
      </c>
    </row>
    <row r="19">
      <c r="D19" s="6" t="n"/>
      <c r="E19" s="6" t="n"/>
      <c r="G19" s="7" t="n"/>
      <c r="J19" s="7">
        <f>IFERROR(G19/F19,"")</f>
        <v/>
      </c>
      <c r="K19">
        <f>IFERROR(TODAY()-E19,"")</f>
        <v/>
      </c>
      <c r="L19">
        <f>IFERROR(IF(K19&lt;=90,"ATIVO",IF(K19&lt;=365,"MORNO","DORMENTE")),"")</f>
        <v/>
      </c>
    </row>
    <row r="20">
      <c r="D20" s="6" t="n"/>
      <c r="E20" s="6" t="n"/>
      <c r="G20" s="7" t="n"/>
      <c r="J20" s="7">
        <f>IFERROR(G20/F20,"")</f>
        <v/>
      </c>
      <c r="K20">
        <f>IFERROR(TODAY()-E20,"")</f>
        <v/>
      </c>
      <c r="L20">
        <f>IFERROR(IF(K20&lt;=90,"ATIVO",IF(K20&lt;=365,"MORNO","DORMENTE")),"")</f>
        <v/>
      </c>
    </row>
    <row r="21">
      <c r="D21" s="6" t="n"/>
      <c r="E21" s="6" t="n"/>
      <c r="G21" s="7" t="n"/>
      <c r="J21" s="7">
        <f>IFERROR(G21/F21,"")</f>
        <v/>
      </c>
      <c r="K21">
        <f>IFERROR(TODAY()-E21,"")</f>
        <v/>
      </c>
      <c r="L21">
        <f>IFERROR(IF(K21&lt;=90,"ATIVO",IF(K21&lt;=365,"MORNO","DORMENTE")),"")</f>
        <v/>
      </c>
    </row>
    <row r="22">
      <c r="D22" s="6" t="n"/>
      <c r="E22" s="6" t="n"/>
      <c r="G22" s="7" t="n"/>
      <c r="J22" s="7">
        <f>IFERROR(G22/F22,"")</f>
        <v/>
      </c>
      <c r="K22">
        <f>IFERROR(TODAY()-E22,"")</f>
        <v/>
      </c>
      <c r="L22">
        <f>IFERROR(IF(K22&lt;=90,"ATIVO",IF(K22&lt;=365,"MORNO","DORMENTE")),"")</f>
        <v/>
      </c>
    </row>
    <row r="23">
      <c r="D23" s="6" t="n"/>
      <c r="E23" s="6" t="n"/>
      <c r="G23" s="7" t="n"/>
      <c r="J23" s="7">
        <f>IFERROR(G23/F23,"")</f>
        <v/>
      </c>
      <c r="K23">
        <f>IFERROR(TODAY()-E23,"")</f>
        <v/>
      </c>
      <c r="L23">
        <f>IFERROR(IF(K23&lt;=90,"ATIVO",IF(K23&lt;=365,"MORNO","DORMENTE")),"")</f>
        <v/>
      </c>
    </row>
    <row r="24">
      <c r="D24" s="6" t="n"/>
      <c r="E24" s="6" t="n"/>
      <c r="G24" s="7" t="n"/>
      <c r="J24" s="7">
        <f>IFERROR(G24/F24,"")</f>
        <v/>
      </c>
      <c r="K24">
        <f>IFERROR(TODAY()-E24,"")</f>
        <v/>
      </c>
      <c r="L24">
        <f>IFERROR(IF(K24&lt;=90,"ATIVO",IF(K24&lt;=365,"MORNO","DORMENTE")),"")</f>
        <v/>
      </c>
    </row>
    <row r="25">
      <c r="D25" s="6" t="n"/>
      <c r="E25" s="6" t="n"/>
      <c r="G25" s="7" t="n"/>
      <c r="J25" s="7">
        <f>IFERROR(G25/F25,"")</f>
        <v/>
      </c>
      <c r="K25">
        <f>IFERROR(TODAY()-E25,"")</f>
        <v/>
      </c>
      <c r="L25">
        <f>IFERROR(IF(K25&lt;=90,"ATIVO",IF(K25&lt;=365,"MORNO","DORMENTE")),"")</f>
        <v/>
      </c>
    </row>
    <row r="26">
      <c r="D26" s="6" t="n"/>
      <c r="E26" s="6" t="n"/>
      <c r="G26" s="7" t="n"/>
      <c r="J26" s="7">
        <f>IFERROR(G26/F26,"")</f>
        <v/>
      </c>
      <c r="K26">
        <f>IFERROR(TODAY()-E26,"")</f>
        <v/>
      </c>
      <c r="L26">
        <f>IFERROR(IF(K26&lt;=90,"ATIVO",IF(K26&lt;=365,"MORNO","DORMENTE")),"")</f>
        <v/>
      </c>
    </row>
    <row r="27">
      <c r="D27" s="6" t="n"/>
      <c r="E27" s="6" t="n"/>
      <c r="G27" s="7" t="n"/>
      <c r="J27" s="7">
        <f>IFERROR(G27/F27,"")</f>
        <v/>
      </c>
      <c r="K27">
        <f>IFERROR(TODAY()-E27,"")</f>
        <v/>
      </c>
      <c r="L27">
        <f>IFERROR(IF(K27&lt;=90,"ATIVO",IF(K27&lt;=365,"MORNO","DORMENTE")),"")</f>
        <v/>
      </c>
    </row>
    <row r="28">
      <c r="D28" s="6" t="n"/>
      <c r="E28" s="6" t="n"/>
      <c r="G28" s="7" t="n"/>
      <c r="J28" s="7">
        <f>IFERROR(G28/F28,"")</f>
        <v/>
      </c>
      <c r="K28">
        <f>IFERROR(TODAY()-E28,"")</f>
        <v/>
      </c>
      <c r="L28">
        <f>IFERROR(IF(K28&lt;=90,"ATIVO",IF(K28&lt;=365,"MORNO","DORMENTE")),"")</f>
        <v/>
      </c>
    </row>
    <row r="29">
      <c r="D29" s="6" t="n"/>
      <c r="E29" s="6" t="n"/>
      <c r="G29" s="7" t="n"/>
      <c r="J29" s="7">
        <f>IFERROR(G29/F29,"")</f>
        <v/>
      </c>
      <c r="K29">
        <f>IFERROR(TODAY()-E29,"")</f>
        <v/>
      </c>
      <c r="L29">
        <f>IFERROR(IF(K29&lt;=90,"ATIVO",IF(K29&lt;=365,"MORNO","DORMENTE")),"")</f>
        <v/>
      </c>
    </row>
    <row r="30">
      <c r="D30" s="6" t="n"/>
      <c r="E30" s="6" t="n"/>
      <c r="G30" s="7" t="n"/>
      <c r="J30" s="7">
        <f>IFERROR(G30/F30,"")</f>
        <v/>
      </c>
      <c r="K30">
        <f>IFERROR(TODAY()-E30,"")</f>
        <v/>
      </c>
      <c r="L30">
        <f>IFERROR(IF(K30&lt;=90,"ATIVO",IF(K30&lt;=365,"MORNO","DORMENTE")),"")</f>
        <v/>
      </c>
    </row>
    <row r="31">
      <c r="D31" s="6" t="n"/>
      <c r="E31" s="6" t="n"/>
      <c r="G31" s="7" t="n"/>
      <c r="J31" s="7">
        <f>IFERROR(G31/F31,"")</f>
        <v/>
      </c>
      <c r="K31">
        <f>IFERROR(TODAY()-E31,"")</f>
        <v/>
      </c>
      <c r="L31">
        <f>IFERROR(IF(K31&lt;=90,"ATIVO",IF(K31&lt;=365,"MORNO","DORMENTE")),"")</f>
        <v/>
      </c>
    </row>
    <row r="32">
      <c r="D32" s="6" t="n"/>
      <c r="E32" s="6" t="n"/>
      <c r="G32" s="7" t="n"/>
      <c r="J32" s="7">
        <f>IFERROR(G32/F32,"")</f>
        <v/>
      </c>
      <c r="K32">
        <f>IFERROR(TODAY()-E32,"")</f>
        <v/>
      </c>
      <c r="L32">
        <f>IFERROR(IF(K32&lt;=90,"ATIVO",IF(K32&lt;=365,"MORNO","DORMENTE")),"")</f>
        <v/>
      </c>
    </row>
    <row r="33">
      <c r="D33" s="6" t="n"/>
      <c r="E33" s="6" t="n"/>
      <c r="G33" s="7" t="n"/>
      <c r="J33" s="7">
        <f>IFERROR(G33/F33,"")</f>
        <v/>
      </c>
      <c r="K33">
        <f>IFERROR(TODAY()-E33,"")</f>
        <v/>
      </c>
      <c r="L33">
        <f>IFERROR(IF(K33&lt;=90,"ATIVO",IF(K33&lt;=365,"MORNO","DORMENTE")),"")</f>
        <v/>
      </c>
    </row>
    <row r="34">
      <c r="D34" s="6" t="n"/>
      <c r="E34" s="6" t="n"/>
      <c r="G34" s="7" t="n"/>
      <c r="J34" s="7">
        <f>IFERROR(G34/F34,"")</f>
        <v/>
      </c>
      <c r="K34">
        <f>IFERROR(TODAY()-E34,"")</f>
        <v/>
      </c>
      <c r="L34">
        <f>IFERROR(IF(K34&lt;=90,"ATIVO",IF(K34&lt;=365,"MORNO","DORMENTE")),"")</f>
        <v/>
      </c>
    </row>
    <row r="35">
      <c r="D35" s="6" t="n"/>
      <c r="E35" s="6" t="n"/>
      <c r="G35" s="7" t="n"/>
      <c r="J35" s="7">
        <f>IFERROR(G35/F35,"")</f>
        <v/>
      </c>
      <c r="K35">
        <f>IFERROR(TODAY()-E35,"")</f>
        <v/>
      </c>
      <c r="L35">
        <f>IFERROR(IF(K35&lt;=90,"ATIVO",IF(K35&lt;=365,"MORNO","DORMENTE")),"")</f>
        <v/>
      </c>
    </row>
    <row r="36">
      <c r="D36" s="6" t="n"/>
      <c r="E36" s="6" t="n"/>
      <c r="G36" s="7" t="n"/>
      <c r="J36" s="7">
        <f>IFERROR(G36/F36,"")</f>
        <v/>
      </c>
      <c r="K36">
        <f>IFERROR(TODAY()-E36,"")</f>
        <v/>
      </c>
      <c r="L36">
        <f>IFERROR(IF(K36&lt;=90,"ATIVO",IF(K36&lt;=365,"MORNO","DORMENTE")),"")</f>
        <v/>
      </c>
    </row>
    <row r="37">
      <c r="D37" s="6" t="n"/>
      <c r="E37" s="6" t="n"/>
      <c r="G37" s="7" t="n"/>
      <c r="J37" s="7">
        <f>IFERROR(G37/F37,"")</f>
        <v/>
      </c>
      <c r="K37">
        <f>IFERROR(TODAY()-E37,"")</f>
        <v/>
      </c>
      <c r="L37">
        <f>IFERROR(IF(K37&lt;=90,"ATIVO",IF(K37&lt;=365,"MORNO","DORMENTE")),"")</f>
        <v/>
      </c>
    </row>
    <row r="38">
      <c r="D38" s="6" t="n"/>
      <c r="E38" s="6" t="n"/>
      <c r="G38" s="7" t="n"/>
      <c r="J38" s="7">
        <f>IFERROR(G38/F38,"")</f>
        <v/>
      </c>
      <c r="K38">
        <f>IFERROR(TODAY()-E38,"")</f>
        <v/>
      </c>
      <c r="L38">
        <f>IFERROR(IF(K38&lt;=90,"ATIVO",IF(K38&lt;=365,"MORNO","DORMENTE")),"")</f>
        <v/>
      </c>
    </row>
    <row r="39">
      <c r="D39" s="6" t="n"/>
      <c r="E39" s="6" t="n"/>
      <c r="G39" s="7" t="n"/>
      <c r="J39" s="7">
        <f>IFERROR(G39/F39,"")</f>
        <v/>
      </c>
      <c r="K39">
        <f>IFERROR(TODAY()-E39,"")</f>
        <v/>
      </c>
      <c r="L39">
        <f>IFERROR(IF(K39&lt;=90,"ATIVO",IF(K39&lt;=365,"MORNO","DORMENTE")),"")</f>
        <v/>
      </c>
    </row>
    <row r="40">
      <c r="D40" s="6" t="n"/>
      <c r="E40" s="6" t="n"/>
      <c r="G40" s="7" t="n"/>
      <c r="J40" s="7">
        <f>IFERROR(G40/F40,"")</f>
        <v/>
      </c>
      <c r="K40">
        <f>IFERROR(TODAY()-E40,"")</f>
        <v/>
      </c>
      <c r="L40">
        <f>IFERROR(IF(K40&lt;=90,"ATIVO",IF(K40&lt;=365,"MORNO","DORMENTE")),"")</f>
        <v/>
      </c>
    </row>
    <row r="41">
      <c r="D41" s="6" t="n"/>
      <c r="E41" s="6" t="n"/>
      <c r="G41" s="7" t="n"/>
      <c r="J41" s="7">
        <f>IFERROR(G41/F41,"")</f>
        <v/>
      </c>
      <c r="K41">
        <f>IFERROR(TODAY()-E41,"")</f>
        <v/>
      </c>
      <c r="L41">
        <f>IFERROR(IF(K41&lt;=90,"ATIVO",IF(K41&lt;=365,"MORNO","DORMENTE")),"")</f>
        <v/>
      </c>
    </row>
    <row r="42">
      <c r="D42" s="6" t="n"/>
      <c r="E42" s="6" t="n"/>
      <c r="G42" s="7" t="n"/>
      <c r="J42" s="7">
        <f>IFERROR(G42/F42,"")</f>
        <v/>
      </c>
      <c r="K42">
        <f>IFERROR(TODAY()-E42,"")</f>
        <v/>
      </c>
      <c r="L42">
        <f>IFERROR(IF(K42&lt;=90,"ATIVO",IF(K42&lt;=365,"MORNO","DORMENTE")),"")</f>
        <v/>
      </c>
    </row>
    <row r="43">
      <c r="D43" s="6" t="n"/>
      <c r="E43" s="6" t="n"/>
      <c r="G43" s="7" t="n"/>
      <c r="J43" s="7">
        <f>IFERROR(G43/F43,"")</f>
        <v/>
      </c>
      <c r="K43">
        <f>IFERROR(TODAY()-E43,"")</f>
        <v/>
      </c>
      <c r="L43">
        <f>IFERROR(IF(K43&lt;=90,"ATIVO",IF(K43&lt;=365,"MORNO","DORMENTE")),"")</f>
        <v/>
      </c>
    </row>
    <row r="44">
      <c r="D44" s="6" t="n"/>
      <c r="E44" s="6" t="n"/>
      <c r="G44" s="7" t="n"/>
      <c r="J44" s="7">
        <f>IFERROR(G44/F44,"")</f>
        <v/>
      </c>
      <c r="K44">
        <f>IFERROR(TODAY()-E44,"")</f>
        <v/>
      </c>
      <c r="L44">
        <f>IFERROR(IF(K44&lt;=90,"ATIVO",IF(K44&lt;=365,"MORNO","DORMENTE")),"")</f>
        <v/>
      </c>
    </row>
    <row r="45">
      <c r="D45" s="6" t="n"/>
      <c r="E45" s="6" t="n"/>
      <c r="G45" s="7" t="n"/>
      <c r="J45" s="7">
        <f>IFERROR(G45/F45,"")</f>
        <v/>
      </c>
      <c r="K45">
        <f>IFERROR(TODAY()-E45,"")</f>
        <v/>
      </c>
      <c r="L45">
        <f>IFERROR(IF(K45&lt;=90,"ATIVO",IF(K45&lt;=365,"MORNO","DORMENTE")),"")</f>
        <v/>
      </c>
    </row>
    <row r="46">
      <c r="D46" s="6" t="n"/>
      <c r="E46" s="6" t="n"/>
      <c r="G46" s="7" t="n"/>
      <c r="J46" s="7">
        <f>IFERROR(G46/F46,"")</f>
        <v/>
      </c>
      <c r="K46">
        <f>IFERROR(TODAY()-E46,"")</f>
        <v/>
      </c>
      <c r="L46">
        <f>IFERROR(IF(K46&lt;=90,"ATIVO",IF(K46&lt;=365,"MORNO","DORMENTE")),"")</f>
        <v/>
      </c>
    </row>
    <row r="47">
      <c r="D47" s="6" t="n"/>
      <c r="E47" s="6" t="n"/>
      <c r="G47" s="7" t="n"/>
      <c r="J47" s="7">
        <f>IFERROR(G47/F47,"")</f>
        <v/>
      </c>
      <c r="K47">
        <f>IFERROR(TODAY()-E47,"")</f>
        <v/>
      </c>
      <c r="L47">
        <f>IFERROR(IF(K47&lt;=90,"ATIVO",IF(K47&lt;=365,"MORNO","DORMENTE")),"")</f>
        <v/>
      </c>
    </row>
    <row r="48">
      <c r="D48" s="6" t="n"/>
      <c r="E48" s="6" t="n"/>
      <c r="G48" s="7" t="n"/>
      <c r="J48" s="7">
        <f>IFERROR(G48/F48,"")</f>
        <v/>
      </c>
      <c r="K48">
        <f>IFERROR(TODAY()-E48,"")</f>
        <v/>
      </c>
      <c r="L48">
        <f>IFERROR(IF(K48&lt;=90,"ATIVO",IF(K48&lt;=365,"MORNO","DORMENTE")),"")</f>
        <v/>
      </c>
    </row>
    <row r="49">
      <c r="D49" s="6" t="n"/>
      <c r="E49" s="6" t="n"/>
      <c r="G49" s="7" t="n"/>
      <c r="J49" s="7">
        <f>IFERROR(G49/F49,"")</f>
        <v/>
      </c>
      <c r="K49">
        <f>IFERROR(TODAY()-E49,"")</f>
        <v/>
      </c>
      <c r="L49">
        <f>IFERROR(IF(K49&lt;=90,"ATIVO",IF(K49&lt;=365,"MORNO","DORMENTE")),"")</f>
        <v/>
      </c>
    </row>
    <row r="50">
      <c r="D50" s="6" t="n"/>
      <c r="E50" s="6" t="n"/>
      <c r="G50" s="7" t="n"/>
      <c r="J50" s="7">
        <f>IFERROR(G50/F50,"")</f>
        <v/>
      </c>
      <c r="K50">
        <f>IFERROR(TODAY()-E50,"")</f>
        <v/>
      </c>
      <c r="L50">
        <f>IFERROR(IF(K50&lt;=90,"ATIVO",IF(K50&lt;=365,"MORNO","DORMENTE")),"")</f>
        <v/>
      </c>
    </row>
    <row r="51">
      <c r="D51" s="6" t="n"/>
      <c r="E51" s="6" t="n"/>
      <c r="G51" s="7" t="n"/>
      <c r="J51" s="7">
        <f>IFERROR(G51/F51,"")</f>
        <v/>
      </c>
      <c r="K51">
        <f>IFERROR(TODAY()-E51,"")</f>
        <v/>
      </c>
      <c r="L51">
        <f>IFERROR(IF(K51&lt;=90,"ATIVO",IF(K51&lt;=365,"MORNO","DORMENTE")),"")</f>
        <v/>
      </c>
    </row>
    <row r="52">
      <c r="D52" s="6" t="n"/>
      <c r="E52" s="6" t="n"/>
      <c r="G52" s="7" t="n"/>
      <c r="J52" s="7">
        <f>IFERROR(G52/F52,"")</f>
        <v/>
      </c>
      <c r="K52">
        <f>IFERROR(TODAY()-E52,"")</f>
        <v/>
      </c>
      <c r="L52">
        <f>IFERROR(IF(K52&lt;=90,"ATIVO",IF(K52&lt;=365,"MORNO","DORMENTE")),"")</f>
        <v/>
      </c>
    </row>
    <row r="53">
      <c r="D53" s="6" t="n"/>
      <c r="E53" s="6" t="n"/>
      <c r="G53" s="7" t="n"/>
      <c r="J53" s="7">
        <f>IFERROR(G53/F53,"")</f>
        <v/>
      </c>
      <c r="K53">
        <f>IFERROR(TODAY()-E53,"")</f>
        <v/>
      </c>
      <c r="L53">
        <f>IFERROR(IF(K53&lt;=90,"ATIVO",IF(K53&lt;=365,"MORNO","DORMENTE")),"")</f>
        <v/>
      </c>
    </row>
    <row r="54">
      <c r="D54" s="6" t="n"/>
      <c r="E54" s="6" t="n"/>
      <c r="G54" s="7" t="n"/>
      <c r="J54" s="7">
        <f>IFERROR(G54/F54,"")</f>
        <v/>
      </c>
      <c r="K54">
        <f>IFERROR(TODAY()-E54,"")</f>
        <v/>
      </c>
      <c r="L54">
        <f>IFERROR(IF(K54&lt;=90,"ATIVO",IF(K54&lt;=365,"MORNO","DORMENTE")),"")</f>
        <v/>
      </c>
    </row>
    <row r="55">
      <c r="D55" s="6" t="n"/>
      <c r="E55" s="6" t="n"/>
      <c r="G55" s="7" t="n"/>
      <c r="J55" s="7">
        <f>IFERROR(G55/F55,"")</f>
        <v/>
      </c>
      <c r="K55">
        <f>IFERROR(TODAY()-E55,"")</f>
        <v/>
      </c>
      <c r="L55">
        <f>IFERROR(IF(K55&lt;=90,"ATIVO",IF(K55&lt;=365,"MORNO","DORMENTE")),"")</f>
        <v/>
      </c>
    </row>
    <row r="56">
      <c r="D56" s="6" t="n"/>
      <c r="E56" s="6" t="n"/>
      <c r="G56" s="7" t="n"/>
      <c r="J56" s="7">
        <f>IFERROR(G56/F56,"")</f>
        <v/>
      </c>
      <c r="K56">
        <f>IFERROR(TODAY()-E56,"")</f>
        <v/>
      </c>
      <c r="L56">
        <f>IFERROR(IF(K56&lt;=90,"ATIVO",IF(K56&lt;=365,"MORNO","DORMENTE")),"")</f>
        <v/>
      </c>
    </row>
    <row r="57">
      <c r="D57" s="6" t="n"/>
      <c r="E57" s="6" t="n"/>
      <c r="G57" s="7" t="n"/>
      <c r="J57" s="7">
        <f>IFERROR(G57/F57,"")</f>
        <v/>
      </c>
      <c r="K57">
        <f>IFERROR(TODAY()-E57,"")</f>
        <v/>
      </c>
      <c r="L57">
        <f>IFERROR(IF(K57&lt;=90,"ATIVO",IF(K57&lt;=365,"MORNO","DORMENTE")),"")</f>
        <v/>
      </c>
    </row>
    <row r="58">
      <c r="D58" s="6" t="n"/>
      <c r="E58" s="6" t="n"/>
      <c r="G58" s="7" t="n"/>
      <c r="J58" s="7">
        <f>IFERROR(G58/F58,"")</f>
        <v/>
      </c>
      <c r="K58">
        <f>IFERROR(TODAY()-E58,"")</f>
        <v/>
      </c>
      <c r="L58">
        <f>IFERROR(IF(K58&lt;=90,"ATIVO",IF(K58&lt;=365,"MORNO","DORMENTE")),"")</f>
        <v/>
      </c>
    </row>
    <row r="59">
      <c r="D59" s="6" t="n"/>
      <c r="E59" s="6" t="n"/>
      <c r="G59" s="7" t="n"/>
      <c r="J59" s="7">
        <f>IFERROR(G59/F59,"")</f>
        <v/>
      </c>
      <c r="K59">
        <f>IFERROR(TODAY()-E59,"")</f>
        <v/>
      </c>
      <c r="L59">
        <f>IFERROR(IF(K59&lt;=90,"ATIVO",IF(K59&lt;=365,"MORNO","DORMENTE")),"")</f>
        <v/>
      </c>
    </row>
    <row r="60">
      <c r="D60" s="6" t="n"/>
      <c r="E60" s="6" t="n"/>
      <c r="G60" s="7" t="n"/>
      <c r="J60" s="7">
        <f>IFERROR(G60/F60,"")</f>
        <v/>
      </c>
      <c r="K60">
        <f>IFERROR(TODAY()-E60,"")</f>
        <v/>
      </c>
      <c r="L60">
        <f>IFERROR(IF(K60&lt;=90,"ATIVO",IF(K60&lt;=365,"MORNO","DORMENTE")),"")</f>
        <v/>
      </c>
    </row>
    <row r="61">
      <c r="D61" s="6" t="n"/>
      <c r="E61" s="6" t="n"/>
      <c r="G61" s="7" t="n"/>
      <c r="J61" s="7">
        <f>IFERROR(G61/F61,"")</f>
        <v/>
      </c>
      <c r="K61">
        <f>IFERROR(TODAY()-E61,"")</f>
        <v/>
      </c>
      <c r="L61">
        <f>IFERROR(IF(K61&lt;=90,"ATIVO",IF(K61&lt;=365,"MORNO","DORMENTE")),"")</f>
        <v/>
      </c>
    </row>
    <row r="62">
      <c r="D62" s="6" t="n"/>
      <c r="E62" s="6" t="n"/>
      <c r="G62" s="7" t="n"/>
      <c r="J62" s="7">
        <f>IFERROR(G62/F62,"")</f>
        <v/>
      </c>
      <c r="K62">
        <f>IFERROR(TODAY()-E62,"")</f>
        <v/>
      </c>
      <c r="L62">
        <f>IFERROR(IF(K62&lt;=90,"ATIVO",IF(K62&lt;=365,"MORNO","DORMENTE")),"")</f>
        <v/>
      </c>
    </row>
    <row r="63">
      <c r="D63" s="6" t="n"/>
      <c r="E63" s="6" t="n"/>
      <c r="G63" s="7" t="n"/>
      <c r="J63" s="7">
        <f>IFERROR(G63/F63,"")</f>
        <v/>
      </c>
      <c r="K63">
        <f>IFERROR(TODAY()-E63,"")</f>
        <v/>
      </c>
      <c r="L63">
        <f>IFERROR(IF(K63&lt;=90,"ATIVO",IF(K63&lt;=365,"MORNO","DORMENTE")),"")</f>
        <v/>
      </c>
    </row>
    <row r="64">
      <c r="D64" s="6" t="n"/>
      <c r="E64" s="6" t="n"/>
      <c r="G64" s="7" t="n"/>
      <c r="J64" s="7">
        <f>IFERROR(G64/F64,"")</f>
        <v/>
      </c>
      <c r="K64">
        <f>IFERROR(TODAY()-E64,"")</f>
        <v/>
      </c>
      <c r="L64">
        <f>IFERROR(IF(K64&lt;=90,"ATIVO",IF(K64&lt;=365,"MORNO","DORMENTE")),"")</f>
        <v/>
      </c>
    </row>
    <row r="65">
      <c r="D65" s="6" t="n"/>
      <c r="E65" s="6" t="n"/>
      <c r="G65" s="7" t="n"/>
      <c r="J65" s="7">
        <f>IFERROR(G65/F65,"")</f>
        <v/>
      </c>
      <c r="K65">
        <f>IFERROR(TODAY()-E65,"")</f>
        <v/>
      </c>
      <c r="L65">
        <f>IFERROR(IF(K65&lt;=90,"ATIVO",IF(K65&lt;=365,"MORNO","DORMENTE")),"")</f>
        <v/>
      </c>
    </row>
    <row r="66">
      <c r="D66" s="6" t="n"/>
      <c r="E66" s="6" t="n"/>
      <c r="G66" s="7" t="n"/>
      <c r="J66" s="7">
        <f>IFERROR(G66/F66,"")</f>
        <v/>
      </c>
      <c r="K66">
        <f>IFERROR(TODAY()-E66,"")</f>
        <v/>
      </c>
      <c r="L66">
        <f>IFERROR(IF(K66&lt;=90,"ATIVO",IF(K66&lt;=365,"MORNO","DORMENTE")),"")</f>
        <v/>
      </c>
    </row>
    <row r="67">
      <c r="D67" s="6" t="n"/>
      <c r="E67" s="6" t="n"/>
      <c r="G67" s="7" t="n"/>
      <c r="J67" s="7">
        <f>IFERROR(G67/F67,"")</f>
        <v/>
      </c>
      <c r="K67">
        <f>IFERROR(TODAY()-E67,"")</f>
        <v/>
      </c>
      <c r="L67">
        <f>IFERROR(IF(K67&lt;=90,"ATIVO",IF(K67&lt;=365,"MORNO","DORMENTE")),"")</f>
        <v/>
      </c>
    </row>
    <row r="68">
      <c r="D68" s="6" t="n"/>
      <c r="E68" s="6" t="n"/>
      <c r="G68" s="7" t="n"/>
      <c r="J68" s="7">
        <f>IFERROR(G68/F68,"")</f>
        <v/>
      </c>
      <c r="K68">
        <f>IFERROR(TODAY()-E68,"")</f>
        <v/>
      </c>
      <c r="L68">
        <f>IFERROR(IF(K68&lt;=90,"ATIVO",IF(K68&lt;=365,"MORNO","DORMENTE")),"")</f>
        <v/>
      </c>
    </row>
    <row r="69">
      <c r="D69" s="6" t="n"/>
      <c r="E69" s="6" t="n"/>
      <c r="G69" s="7" t="n"/>
      <c r="J69" s="7">
        <f>IFERROR(G69/F69,"")</f>
        <v/>
      </c>
      <c r="K69">
        <f>IFERROR(TODAY()-E69,"")</f>
        <v/>
      </c>
      <c r="L69">
        <f>IFERROR(IF(K69&lt;=90,"ATIVO",IF(K69&lt;=365,"MORNO","DORMENTE")),"")</f>
        <v/>
      </c>
    </row>
    <row r="70">
      <c r="D70" s="6" t="n"/>
      <c r="E70" s="6" t="n"/>
      <c r="G70" s="7" t="n"/>
      <c r="J70" s="7">
        <f>IFERROR(G70/F70,"")</f>
        <v/>
      </c>
      <c r="K70">
        <f>IFERROR(TODAY()-E70,"")</f>
        <v/>
      </c>
      <c r="L70">
        <f>IFERROR(IF(K70&lt;=90,"ATIVO",IF(K70&lt;=365,"MORNO","DORMENTE")),"")</f>
        <v/>
      </c>
    </row>
    <row r="71">
      <c r="D71" s="6" t="n"/>
      <c r="E71" s="6" t="n"/>
      <c r="G71" s="7" t="n"/>
      <c r="J71" s="7">
        <f>IFERROR(G71/F71,"")</f>
        <v/>
      </c>
      <c r="K71">
        <f>IFERROR(TODAY()-E71,"")</f>
        <v/>
      </c>
      <c r="L71">
        <f>IFERROR(IF(K71&lt;=90,"ATIVO",IF(K71&lt;=365,"MORNO","DORMENTE")),"")</f>
        <v/>
      </c>
    </row>
    <row r="72">
      <c r="D72" s="6" t="n"/>
      <c r="E72" s="6" t="n"/>
      <c r="G72" s="7" t="n"/>
      <c r="J72" s="7">
        <f>IFERROR(G72/F72,"")</f>
        <v/>
      </c>
      <c r="K72">
        <f>IFERROR(TODAY()-E72,"")</f>
        <v/>
      </c>
      <c r="L72">
        <f>IFERROR(IF(K72&lt;=90,"ATIVO",IF(K72&lt;=365,"MORNO","DORMENTE")),"")</f>
        <v/>
      </c>
    </row>
    <row r="73">
      <c r="D73" s="6" t="n"/>
      <c r="E73" s="6" t="n"/>
      <c r="G73" s="7" t="n"/>
      <c r="J73" s="7">
        <f>IFERROR(G73/F73,"")</f>
        <v/>
      </c>
      <c r="K73">
        <f>IFERROR(TODAY()-E73,"")</f>
        <v/>
      </c>
      <c r="L73">
        <f>IFERROR(IF(K73&lt;=90,"ATIVO",IF(K73&lt;=365,"MORNO","DORMENTE")),"")</f>
        <v/>
      </c>
    </row>
    <row r="74">
      <c r="D74" s="6" t="n"/>
      <c r="E74" s="6" t="n"/>
      <c r="G74" s="7" t="n"/>
      <c r="J74" s="7">
        <f>IFERROR(G74/F74,"")</f>
        <v/>
      </c>
      <c r="K74">
        <f>IFERROR(TODAY()-E74,"")</f>
        <v/>
      </c>
      <c r="L74">
        <f>IFERROR(IF(K74&lt;=90,"ATIVO",IF(K74&lt;=365,"MORNO","DORMENTE")),"")</f>
        <v/>
      </c>
    </row>
    <row r="75">
      <c r="D75" s="6" t="n"/>
      <c r="E75" s="6" t="n"/>
      <c r="G75" s="7" t="n"/>
      <c r="J75" s="7">
        <f>IFERROR(G75/F75,"")</f>
        <v/>
      </c>
      <c r="K75">
        <f>IFERROR(TODAY()-E75,"")</f>
        <v/>
      </c>
      <c r="L75">
        <f>IFERROR(IF(K75&lt;=90,"ATIVO",IF(K75&lt;=365,"MORNO","DORMENTE")),"")</f>
        <v/>
      </c>
    </row>
    <row r="76">
      <c r="D76" s="6" t="n"/>
      <c r="E76" s="6" t="n"/>
      <c r="G76" s="7" t="n"/>
      <c r="J76" s="7">
        <f>IFERROR(G76/F76,"")</f>
        <v/>
      </c>
      <c r="K76">
        <f>IFERROR(TODAY()-E76,"")</f>
        <v/>
      </c>
      <c r="L76">
        <f>IFERROR(IF(K76&lt;=90,"ATIVO",IF(K76&lt;=365,"MORNO","DORMENTE")),"")</f>
        <v/>
      </c>
    </row>
    <row r="77">
      <c r="D77" s="6" t="n"/>
      <c r="E77" s="6" t="n"/>
      <c r="G77" s="7" t="n"/>
      <c r="J77" s="7">
        <f>IFERROR(G77/F77,"")</f>
        <v/>
      </c>
      <c r="K77">
        <f>IFERROR(TODAY()-E77,"")</f>
        <v/>
      </c>
      <c r="L77">
        <f>IFERROR(IF(K77&lt;=90,"ATIVO",IF(K77&lt;=365,"MORNO","DORMENTE")),"")</f>
        <v/>
      </c>
    </row>
    <row r="78">
      <c r="D78" s="6" t="n"/>
      <c r="E78" s="6" t="n"/>
      <c r="G78" s="7" t="n"/>
      <c r="J78" s="7">
        <f>IFERROR(G78/F78,"")</f>
        <v/>
      </c>
      <c r="K78">
        <f>IFERROR(TODAY()-E78,"")</f>
        <v/>
      </c>
      <c r="L78">
        <f>IFERROR(IF(K78&lt;=90,"ATIVO",IF(K78&lt;=365,"MORNO","DORMENTE")),"")</f>
        <v/>
      </c>
    </row>
    <row r="79">
      <c r="D79" s="6" t="n"/>
      <c r="E79" s="6" t="n"/>
      <c r="G79" s="7" t="n"/>
      <c r="J79" s="7">
        <f>IFERROR(G79/F79,"")</f>
        <v/>
      </c>
      <c r="K79">
        <f>IFERROR(TODAY()-E79,"")</f>
        <v/>
      </c>
      <c r="L79">
        <f>IFERROR(IF(K79&lt;=90,"ATIVO",IF(K79&lt;=365,"MORNO","DORMENTE")),"")</f>
        <v/>
      </c>
    </row>
    <row r="80">
      <c r="D80" s="6" t="n"/>
      <c r="E80" s="6" t="n"/>
      <c r="G80" s="7" t="n"/>
      <c r="J80" s="7">
        <f>IFERROR(G80/F80,"")</f>
        <v/>
      </c>
      <c r="K80">
        <f>IFERROR(TODAY()-E80,"")</f>
        <v/>
      </c>
      <c r="L80">
        <f>IFERROR(IF(K80&lt;=90,"ATIVO",IF(K80&lt;=365,"MORNO","DORMENTE")),"")</f>
        <v/>
      </c>
    </row>
    <row r="81">
      <c r="D81" s="6" t="n"/>
      <c r="E81" s="6" t="n"/>
      <c r="G81" s="7" t="n"/>
      <c r="J81" s="7">
        <f>IFERROR(G81/F81,"")</f>
        <v/>
      </c>
      <c r="K81">
        <f>IFERROR(TODAY()-E81,"")</f>
        <v/>
      </c>
      <c r="L81">
        <f>IFERROR(IF(K81&lt;=90,"ATIVO",IF(K81&lt;=365,"MORNO","DORMENTE")),"")</f>
        <v/>
      </c>
    </row>
    <row r="82">
      <c r="D82" s="6" t="n"/>
      <c r="E82" s="6" t="n"/>
      <c r="G82" s="7" t="n"/>
      <c r="J82" s="7">
        <f>IFERROR(G82/F82,"")</f>
        <v/>
      </c>
      <c r="K82">
        <f>IFERROR(TODAY()-E82,"")</f>
        <v/>
      </c>
      <c r="L82">
        <f>IFERROR(IF(K82&lt;=90,"ATIVO",IF(K82&lt;=365,"MORNO","DORMENTE")),"")</f>
        <v/>
      </c>
    </row>
    <row r="83">
      <c r="D83" s="6" t="n"/>
      <c r="E83" s="6" t="n"/>
      <c r="G83" s="7" t="n"/>
      <c r="J83" s="7">
        <f>IFERROR(G83/F83,"")</f>
        <v/>
      </c>
      <c r="K83">
        <f>IFERROR(TODAY()-E83,"")</f>
        <v/>
      </c>
      <c r="L83">
        <f>IFERROR(IF(K83&lt;=90,"ATIVO",IF(K83&lt;=365,"MORNO","DORMENTE")),"")</f>
        <v/>
      </c>
    </row>
    <row r="84">
      <c r="D84" s="6" t="n"/>
      <c r="E84" s="6" t="n"/>
      <c r="G84" s="7" t="n"/>
      <c r="J84" s="7">
        <f>IFERROR(G84/F84,"")</f>
        <v/>
      </c>
      <c r="K84">
        <f>IFERROR(TODAY()-E84,"")</f>
        <v/>
      </c>
      <c r="L84">
        <f>IFERROR(IF(K84&lt;=90,"ATIVO",IF(K84&lt;=365,"MORNO","DORMENTE")),"")</f>
        <v/>
      </c>
    </row>
    <row r="85">
      <c r="D85" s="6" t="n"/>
      <c r="E85" s="6" t="n"/>
      <c r="G85" s="7" t="n"/>
      <c r="J85" s="7">
        <f>IFERROR(G85/F85,"")</f>
        <v/>
      </c>
      <c r="K85">
        <f>IFERROR(TODAY()-E85,"")</f>
        <v/>
      </c>
      <c r="L85">
        <f>IFERROR(IF(K85&lt;=90,"ATIVO",IF(K85&lt;=365,"MORNO","DORMENTE")),"")</f>
        <v/>
      </c>
    </row>
    <row r="86">
      <c r="D86" s="6" t="n"/>
      <c r="E86" s="6" t="n"/>
      <c r="G86" s="7" t="n"/>
      <c r="J86" s="7">
        <f>IFERROR(G86/F86,"")</f>
        <v/>
      </c>
      <c r="K86">
        <f>IFERROR(TODAY()-E86,"")</f>
        <v/>
      </c>
      <c r="L86">
        <f>IFERROR(IF(K86&lt;=90,"ATIVO",IF(K86&lt;=365,"MORNO","DORMENTE")),"")</f>
        <v/>
      </c>
    </row>
    <row r="87">
      <c r="D87" s="6" t="n"/>
      <c r="E87" s="6" t="n"/>
      <c r="G87" s="7" t="n"/>
      <c r="J87" s="7">
        <f>IFERROR(G87/F87,"")</f>
        <v/>
      </c>
      <c r="K87">
        <f>IFERROR(TODAY()-E87,"")</f>
        <v/>
      </c>
      <c r="L87">
        <f>IFERROR(IF(K87&lt;=90,"ATIVO",IF(K87&lt;=365,"MORNO","DORMENTE")),"")</f>
        <v/>
      </c>
    </row>
    <row r="88">
      <c r="D88" s="6" t="n"/>
      <c r="E88" s="6" t="n"/>
      <c r="G88" s="7" t="n"/>
      <c r="J88" s="7">
        <f>IFERROR(G88/F88,"")</f>
        <v/>
      </c>
      <c r="K88">
        <f>IFERROR(TODAY()-E88,"")</f>
        <v/>
      </c>
      <c r="L88">
        <f>IFERROR(IF(K88&lt;=90,"ATIVO",IF(K88&lt;=365,"MORNO","DORMENTE")),"")</f>
        <v/>
      </c>
    </row>
    <row r="89">
      <c r="D89" s="6" t="n"/>
      <c r="E89" s="6" t="n"/>
      <c r="G89" s="7" t="n"/>
      <c r="J89" s="7">
        <f>IFERROR(G89/F89,"")</f>
        <v/>
      </c>
      <c r="K89">
        <f>IFERROR(TODAY()-E89,"")</f>
        <v/>
      </c>
      <c r="L89">
        <f>IFERROR(IF(K89&lt;=90,"ATIVO",IF(K89&lt;=365,"MORNO","DORMENTE")),"")</f>
        <v/>
      </c>
    </row>
    <row r="90">
      <c r="D90" s="6" t="n"/>
      <c r="E90" s="6" t="n"/>
      <c r="G90" s="7" t="n"/>
      <c r="J90" s="7">
        <f>IFERROR(G90/F90,"")</f>
        <v/>
      </c>
      <c r="K90">
        <f>IFERROR(TODAY()-E90,"")</f>
        <v/>
      </c>
      <c r="L90">
        <f>IFERROR(IF(K90&lt;=90,"ATIVO",IF(K90&lt;=365,"MORNO","DORMENTE")),"")</f>
        <v/>
      </c>
    </row>
    <row r="91">
      <c r="D91" s="6" t="n"/>
      <c r="E91" s="6" t="n"/>
      <c r="G91" s="7" t="n"/>
      <c r="J91" s="7">
        <f>IFERROR(G91/F91,"")</f>
        <v/>
      </c>
      <c r="K91">
        <f>IFERROR(TODAY()-E91,"")</f>
        <v/>
      </c>
      <c r="L91">
        <f>IFERROR(IF(K91&lt;=90,"ATIVO",IF(K91&lt;=365,"MORNO","DORMENTE")),"")</f>
        <v/>
      </c>
    </row>
    <row r="92">
      <c r="D92" s="6" t="n"/>
      <c r="E92" s="6" t="n"/>
      <c r="G92" s="7" t="n"/>
      <c r="J92" s="7">
        <f>IFERROR(G92/F92,"")</f>
        <v/>
      </c>
      <c r="K92">
        <f>IFERROR(TODAY()-E92,"")</f>
        <v/>
      </c>
      <c r="L92">
        <f>IFERROR(IF(K92&lt;=90,"ATIVO",IF(K92&lt;=365,"MORNO","DORMENTE")),"")</f>
        <v/>
      </c>
    </row>
    <row r="93">
      <c r="D93" s="6" t="n"/>
      <c r="E93" s="6" t="n"/>
      <c r="G93" s="7" t="n"/>
      <c r="J93" s="7">
        <f>IFERROR(G93/F93,"")</f>
        <v/>
      </c>
      <c r="K93">
        <f>IFERROR(TODAY()-E93,"")</f>
        <v/>
      </c>
      <c r="L93">
        <f>IFERROR(IF(K93&lt;=90,"ATIVO",IF(K93&lt;=365,"MORNO","DORMENTE")),"")</f>
        <v/>
      </c>
    </row>
    <row r="94">
      <c r="D94" s="6" t="n"/>
      <c r="E94" s="6" t="n"/>
      <c r="G94" s="7" t="n"/>
      <c r="J94" s="7">
        <f>IFERROR(G94/F94,"")</f>
        <v/>
      </c>
      <c r="K94">
        <f>IFERROR(TODAY()-E94,"")</f>
        <v/>
      </c>
      <c r="L94">
        <f>IFERROR(IF(K94&lt;=90,"ATIVO",IF(K94&lt;=365,"MORNO","DORMENTE")),"")</f>
        <v/>
      </c>
    </row>
    <row r="95">
      <c r="D95" s="6" t="n"/>
      <c r="E95" s="6" t="n"/>
      <c r="G95" s="7" t="n"/>
      <c r="J95" s="7">
        <f>IFERROR(G95/F95,"")</f>
        <v/>
      </c>
      <c r="K95">
        <f>IFERROR(TODAY()-E95,"")</f>
        <v/>
      </c>
      <c r="L95">
        <f>IFERROR(IF(K95&lt;=90,"ATIVO",IF(K95&lt;=365,"MORNO","DORMENTE")),"")</f>
        <v/>
      </c>
    </row>
    <row r="96">
      <c r="D96" s="6" t="n"/>
      <c r="E96" s="6" t="n"/>
      <c r="G96" s="7" t="n"/>
      <c r="J96" s="7">
        <f>IFERROR(G96/F96,"")</f>
        <v/>
      </c>
      <c r="K96">
        <f>IFERROR(TODAY()-E96,"")</f>
        <v/>
      </c>
      <c r="L96">
        <f>IFERROR(IF(K96&lt;=90,"ATIVO",IF(K96&lt;=365,"MORNO","DORMENTE")),"")</f>
        <v/>
      </c>
    </row>
    <row r="97">
      <c r="D97" s="6" t="n"/>
      <c r="E97" s="6" t="n"/>
      <c r="G97" s="7" t="n"/>
      <c r="J97" s="7">
        <f>IFERROR(G97/F97,"")</f>
        <v/>
      </c>
      <c r="K97">
        <f>IFERROR(TODAY()-E97,"")</f>
        <v/>
      </c>
      <c r="L97">
        <f>IFERROR(IF(K97&lt;=90,"ATIVO",IF(K97&lt;=365,"MORNO","DORMENTE")),"")</f>
        <v/>
      </c>
    </row>
    <row r="98">
      <c r="D98" s="6" t="n"/>
      <c r="E98" s="6" t="n"/>
      <c r="G98" s="7" t="n"/>
      <c r="J98" s="7">
        <f>IFERROR(G98/F98,"")</f>
        <v/>
      </c>
      <c r="K98">
        <f>IFERROR(TODAY()-E98,"")</f>
        <v/>
      </c>
      <c r="L98">
        <f>IFERROR(IF(K98&lt;=90,"ATIVO",IF(K98&lt;=365,"MORNO","DORMENTE")),"")</f>
        <v/>
      </c>
    </row>
    <row r="99">
      <c r="D99" s="6" t="n"/>
      <c r="E99" s="6" t="n"/>
      <c r="G99" s="7" t="n"/>
      <c r="J99" s="7">
        <f>IFERROR(G99/F99,"")</f>
        <v/>
      </c>
      <c r="K99">
        <f>IFERROR(TODAY()-E99,"")</f>
        <v/>
      </c>
      <c r="L99">
        <f>IFERROR(IF(K99&lt;=90,"ATIVO",IF(K99&lt;=365,"MORNO","DORMENTE")),"")</f>
        <v/>
      </c>
    </row>
    <row r="100">
      <c r="D100" s="6" t="n"/>
      <c r="E100" s="6" t="n"/>
      <c r="G100" s="7" t="n"/>
      <c r="J100" s="7">
        <f>IFERROR(G100/F100,"")</f>
        <v/>
      </c>
      <c r="K100">
        <f>IFERROR(TODAY()-E100,"")</f>
        <v/>
      </c>
      <c r="L100">
        <f>IFERROR(IF(K100&lt;=90,"ATIVO",IF(K100&lt;=365,"MORNO","DORMENTE")),"")</f>
        <v/>
      </c>
    </row>
    <row r="101">
      <c r="D101" s="6" t="n"/>
      <c r="E101" s="6" t="n"/>
      <c r="G101" s="7" t="n"/>
      <c r="J101" s="7">
        <f>IFERROR(G101/F101,"")</f>
        <v/>
      </c>
      <c r="K101">
        <f>IFERROR(TODAY()-E101,"")</f>
        <v/>
      </c>
      <c r="L101">
        <f>IFERROR(IF(K101&lt;=90,"ATIVO",IF(K101&lt;=365,"MORNO","DORMENTE")),"")</f>
        <v/>
      </c>
    </row>
    <row r="102">
      <c r="D102" s="6" t="n"/>
      <c r="E102" s="6" t="n"/>
      <c r="G102" s="7" t="n"/>
      <c r="J102" s="7">
        <f>IFERROR(G102/F102,"")</f>
        <v/>
      </c>
      <c r="K102">
        <f>IFERROR(TODAY()-E102,"")</f>
        <v/>
      </c>
      <c r="L102">
        <f>IFERROR(IF(K102&lt;=90,"ATIVO",IF(K102&lt;=365,"MORNO","DORMENTE")),"")</f>
        <v/>
      </c>
    </row>
    <row r="103">
      <c r="D103" s="6" t="n"/>
      <c r="E103" s="6" t="n"/>
      <c r="G103" s="7" t="n"/>
      <c r="J103" s="7">
        <f>IFERROR(G103/F103,"")</f>
        <v/>
      </c>
      <c r="K103">
        <f>IFERROR(TODAY()-E103,"")</f>
        <v/>
      </c>
      <c r="L103">
        <f>IFERROR(IF(K103&lt;=90,"ATIVO",IF(K103&lt;=365,"MORNO","DORMENTE")),"")</f>
        <v/>
      </c>
    </row>
    <row r="104">
      <c r="D104" s="6" t="n"/>
      <c r="E104" s="6" t="n"/>
      <c r="G104" s="7" t="n"/>
      <c r="J104" s="7">
        <f>IFERROR(G104/F104,"")</f>
        <v/>
      </c>
      <c r="K104">
        <f>IFERROR(TODAY()-E104,"")</f>
        <v/>
      </c>
      <c r="L104">
        <f>IFERROR(IF(K104&lt;=90,"ATIVO",IF(K104&lt;=365,"MORNO","DORMENTE")),"")</f>
        <v/>
      </c>
    </row>
    <row r="105">
      <c r="D105" s="6" t="n"/>
      <c r="E105" s="6" t="n"/>
      <c r="G105" s="7" t="n"/>
      <c r="J105" s="7">
        <f>IFERROR(G105/F105,"")</f>
        <v/>
      </c>
      <c r="K105">
        <f>IFERROR(TODAY()-E105,"")</f>
        <v/>
      </c>
      <c r="L105">
        <f>IFERROR(IF(K105&lt;=90,"ATIVO",IF(K105&lt;=365,"MORNO","DORMENTE")),"")</f>
        <v/>
      </c>
    </row>
    <row r="106">
      <c r="D106" s="6" t="n"/>
      <c r="E106" s="6" t="n"/>
      <c r="G106" s="7" t="n"/>
      <c r="J106" s="7">
        <f>IFERROR(G106/F106,"")</f>
        <v/>
      </c>
      <c r="K106">
        <f>IFERROR(TODAY()-E106,"")</f>
        <v/>
      </c>
      <c r="L106">
        <f>IFERROR(IF(K106&lt;=90,"ATIVO",IF(K106&lt;=365,"MORNO","DORMENTE")),"")</f>
        <v/>
      </c>
    </row>
    <row r="107">
      <c r="D107" s="6" t="n"/>
      <c r="E107" s="6" t="n"/>
      <c r="G107" s="7" t="n"/>
      <c r="J107" s="7">
        <f>IFERROR(G107/F107,"")</f>
        <v/>
      </c>
      <c r="K107">
        <f>IFERROR(TODAY()-E107,"")</f>
        <v/>
      </c>
      <c r="L107">
        <f>IFERROR(IF(K107&lt;=90,"ATIVO",IF(K107&lt;=365,"MORNO","DORMENTE")),"")</f>
        <v/>
      </c>
    </row>
    <row r="108">
      <c r="D108" s="6" t="n"/>
      <c r="E108" s="6" t="n"/>
      <c r="G108" s="7" t="n"/>
      <c r="J108" s="7">
        <f>IFERROR(G108/F108,"")</f>
        <v/>
      </c>
      <c r="K108">
        <f>IFERROR(TODAY()-E108,"")</f>
        <v/>
      </c>
      <c r="L108">
        <f>IFERROR(IF(K108&lt;=90,"ATIVO",IF(K108&lt;=365,"MORNO","DORMENTE")),"")</f>
        <v/>
      </c>
    </row>
    <row r="109">
      <c r="D109" s="6" t="n"/>
      <c r="E109" s="6" t="n"/>
      <c r="G109" s="7" t="n"/>
      <c r="J109" s="7">
        <f>IFERROR(G109/F109,"")</f>
        <v/>
      </c>
      <c r="K109">
        <f>IFERROR(TODAY()-E109,"")</f>
        <v/>
      </c>
      <c r="L109">
        <f>IFERROR(IF(K109&lt;=90,"ATIVO",IF(K109&lt;=365,"MORNO","DORMENTE")),"")</f>
        <v/>
      </c>
    </row>
    <row r="110">
      <c r="D110" s="6" t="n"/>
      <c r="E110" s="6" t="n"/>
      <c r="G110" s="7" t="n"/>
      <c r="J110" s="7">
        <f>IFERROR(G110/F110,"")</f>
        <v/>
      </c>
      <c r="K110">
        <f>IFERROR(TODAY()-E110,"")</f>
        <v/>
      </c>
      <c r="L110">
        <f>IFERROR(IF(K110&lt;=90,"ATIVO",IF(K110&lt;=365,"MORNO","DORMENTE")),"")</f>
        <v/>
      </c>
    </row>
    <row r="111">
      <c r="D111" s="6" t="n"/>
      <c r="E111" s="6" t="n"/>
      <c r="G111" s="7" t="n"/>
      <c r="J111" s="7">
        <f>IFERROR(G111/F111,"")</f>
        <v/>
      </c>
      <c r="K111">
        <f>IFERROR(TODAY()-E111,"")</f>
        <v/>
      </c>
      <c r="L111">
        <f>IFERROR(IF(K111&lt;=90,"ATIVO",IF(K111&lt;=365,"MORNO","DORMENTE")),"")</f>
        <v/>
      </c>
    </row>
    <row r="112">
      <c r="D112" s="6" t="n"/>
      <c r="E112" s="6" t="n"/>
      <c r="G112" s="7" t="n"/>
      <c r="J112" s="7">
        <f>IFERROR(G112/F112,"")</f>
        <v/>
      </c>
      <c r="K112">
        <f>IFERROR(TODAY()-E112,"")</f>
        <v/>
      </c>
      <c r="L112">
        <f>IFERROR(IF(K112&lt;=90,"ATIVO",IF(K112&lt;=365,"MORNO","DORMENTE")),"")</f>
        <v/>
      </c>
    </row>
    <row r="113">
      <c r="D113" s="6" t="n"/>
      <c r="E113" s="6" t="n"/>
      <c r="G113" s="7" t="n"/>
      <c r="J113" s="7">
        <f>IFERROR(G113/F113,"")</f>
        <v/>
      </c>
      <c r="K113">
        <f>IFERROR(TODAY()-E113,"")</f>
        <v/>
      </c>
      <c r="L113">
        <f>IFERROR(IF(K113&lt;=90,"ATIVO",IF(K113&lt;=365,"MORNO","DORMENTE")),"")</f>
        <v/>
      </c>
    </row>
    <row r="114">
      <c r="D114" s="6" t="n"/>
      <c r="E114" s="6" t="n"/>
      <c r="G114" s="7" t="n"/>
      <c r="J114" s="7">
        <f>IFERROR(G114/F114,"")</f>
        <v/>
      </c>
      <c r="K114">
        <f>IFERROR(TODAY()-E114,"")</f>
        <v/>
      </c>
      <c r="L114">
        <f>IFERROR(IF(K114&lt;=90,"ATIVO",IF(K114&lt;=365,"MORNO","DORMENTE")),"")</f>
        <v/>
      </c>
    </row>
    <row r="115">
      <c r="D115" s="6" t="n"/>
      <c r="E115" s="6" t="n"/>
      <c r="G115" s="7" t="n"/>
      <c r="J115" s="7">
        <f>IFERROR(G115/F115,"")</f>
        <v/>
      </c>
      <c r="K115">
        <f>IFERROR(TODAY()-E115,"")</f>
        <v/>
      </c>
      <c r="L115">
        <f>IFERROR(IF(K115&lt;=90,"ATIVO",IF(K115&lt;=365,"MORNO","DORMENTE")),"")</f>
        <v/>
      </c>
    </row>
    <row r="116">
      <c r="D116" s="6" t="n"/>
      <c r="E116" s="6" t="n"/>
      <c r="G116" s="7" t="n"/>
      <c r="J116" s="7">
        <f>IFERROR(G116/F116,"")</f>
        <v/>
      </c>
      <c r="K116">
        <f>IFERROR(TODAY()-E116,"")</f>
        <v/>
      </c>
      <c r="L116">
        <f>IFERROR(IF(K116&lt;=90,"ATIVO",IF(K116&lt;=365,"MORNO","DORMENTE")),"")</f>
        <v/>
      </c>
    </row>
    <row r="117">
      <c r="D117" s="6" t="n"/>
      <c r="E117" s="6" t="n"/>
      <c r="G117" s="7" t="n"/>
      <c r="J117" s="7">
        <f>IFERROR(G117/F117,"")</f>
        <v/>
      </c>
      <c r="K117">
        <f>IFERROR(TODAY()-E117,"")</f>
        <v/>
      </c>
      <c r="L117">
        <f>IFERROR(IF(K117&lt;=90,"ATIVO",IF(K117&lt;=365,"MORNO","DORMENTE")),"")</f>
        <v/>
      </c>
    </row>
    <row r="118">
      <c r="D118" s="6" t="n"/>
      <c r="E118" s="6" t="n"/>
      <c r="G118" s="7" t="n"/>
      <c r="J118" s="7">
        <f>IFERROR(G118/F118,"")</f>
        <v/>
      </c>
      <c r="K118">
        <f>IFERROR(TODAY()-E118,"")</f>
        <v/>
      </c>
      <c r="L118">
        <f>IFERROR(IF(K118&lt;=90,"ATIVO",IF(K118&lt;=365,"MORNO","DORMENTE")),"")</f>
        <v/>
      </c>
    </row>
    <row r="119">
      <c r="D119" s="6" t="n"/>
      <c r="E119" s="6" t="n"/>
      <c r="G119" s="7" t="n"/>
      <c r="J119" s="7">
        <f>IFERROR(G119/F119,"")</f>
        <v/>
      </c>
      <c r="K119">
        <f>IFERROR(TODAY()-E119,"")</f>
        <v/>
      </c>
      <c r="L119">
        <f>IFERROR(IF(K119&lt;=90,"ATIVO",IF(K119&lt;=365,"MORNO","DORMENTE")),"")</f>
        <v/>
      </c>
    </row>
    <row r="120">
      <c r="D120" s="6" t="n"/>
      <c r="E120" s="6" t="n"/>
      <c r="G120" s="7" t="n"/>
      <c r="J120" s="7">
        <f>IFERROR(G120/F120,"")</f>
        <v/>
      </c>
      <c r="K120">
        <f>IFERROR(TODAY()-E120,"")</f>
        <v/>
      </c>
      <c r="L120">
        <f>IFERROR(IF(K120&lt;=90,"ATIVO",IF(K120&lt;=365,"MORNO","DORMENTE")),"")</f>
        <v/>
      </c>
    </row>
    <row r="121">
      <c r="D121" s="6" t="n"/>
      <c r="E121" s="6" t="n"/>
      <c r="G121" s="7" t="n"/>
      <c r="J121" s="7">
        <f>IFERROR(G121/F121,"")</f>
        <v/>
      </c>
      <c r="K121">
        <f>IFERROR(TODAY()-E121,"")</f>
        <v/>
      </c>
      <c r="L121">
        <f>IFERROR(IF(K121&lt;=90,"ATIVO",IF(K121&lt;=365,"MORNO","DORMENTE")),"")</f>
        <v/>
      </c>
    </row>
    <row r="122">
      <c r="D122" s="6" t="n"/>
      <c r="E122" s="6" t="n"/>
      <c r="G122" s="7" t="n"/>
      <c r="J122" s="7">
        <f>IFERROR(G122/F122,"")</f>
        <v/>
      </c>
      <c r="K122">
        <f>IFERROR(TODAY()-E122,"")</f>
        <v/>
      </c>
      <c r="L122">
        <f>IFERROR(IF(K122&lt;=90,"ATIVO",IF(K122&lt;=365,"MORNO","DORMENTE")),"")</f>
        <v/>
      </c>
    </row>
    <row r="123">
      <c r="D123" s="6" t="n"/>
      <c r="E123" s="6" t="n"/>
      <c r="G123" s="7" t="n"/>
      <c r="J123" s="7">
        <f>IFERROR(G123/F123,"")</f>
        <v/>
      </c>
      <c r="K123">
        <f>IFERROR(TODAY()-E123,"")</f>
        <v/>
      </c>
      <c r="L123">
        <f>IFERROR(IF(K123&lt;=90,"ATIVO",IF(K123&lt;=365,"MORNO","DORMENTE")),"")</f>
        <v/>
      </c>
    </row>
    <row r="124">
      <c r="D124" s="6" t="n"/>
      <c r="E124" s="6" t="n"/>
      <c r="G124" s="7" t="n"/>
      <c r="J124" s="7">
        <f>IFERROR(G124/F124,"")</f>
        <v/>
      </c>
      <c r="K124">
        <f>IFERROR(TODAY()-E124,"")</f>
        <v/>
      </c>
      <c r="L124">
        <f>IFERROR(IF(K124&lt;=90,"ATIVO",IF(K124&lt;=365,"MORNO","DORMENTE")),"")</f>
        <v/>
      </c>
    </row>
    <row r="125">
      <c r="D125" s="6" t="n"/>
      <c r="E125" s="6" t="n"/>
      <c r="G125" s="7" t="n"/>
      <c r="J125" s="7">
        <f>IFERROR(G125/F125,"")</f>
        <v/>
      </c>
      <c r="K125">
        <f>IFERROR(TODAY()-E125,"")</f>
        <v/>
      </c>
      <c r="L125">
        <f>IFERROR(IF(K125&lt;=90,"ATIVO",IF(K125&lt;=365,"MORNO","DORMENTE")),"")</f>
        <v/>
      </c>
    </row>
    <row r="126">
      <c r="D126" s="6" t="n"/>
      <c r="E126" s="6" t="n"/>
      <c r="G126" s="7" t="n"/>
      <c r="J126" s="7">
        <f>IFERROR(G126/F126,"")</f>
        <v/>
      </c>
      <c r="K126">
        <f>IFERROR(TODAY()-E126,"")</f>
        <v/>
      </c>
      <c r="L126">
        <f>IFERROR(IF(K126&lt;=90,"ATIVO",IF(K126&lt;=365,"MORNO","DORMENTE")),"")</f>
        <v/>
      </c>
    </row>
    <row r="127">
      <c r="D127" s="6" t="n"/>
      <c r="E127" s="6" t="n"/>
      <c r="G127" s="7" t="n"/>
      <c r="J127" s="7">
        <f>IFERROR(G127/F127,"")</f>
        <v/>
      </c>
      <c r="K127">
        <f>IFERROR(TODAY()-E127,"")</f>
        <v/>
      </c>
      <c r="L127">
        <f>IFERROR(IF(K127&lt;=90,"ATIVO",IF(K127&lt;=365,"MORNO","DORMENTE")),"")</f>
        <v/>
      </c>
    </row>
    <row r="128">
      <c r="D128" s="6" t="n"/>
      <c r="E128" s="6" t="n"/>
      <c r="G128" s="7" t="n"/>
      <c r="J128" s="7">
        <f>IFERROR(G128/F128,"")</f>
        <v/>
      </c>
      <c r="K128">
        <f>IFERROR(TODAY()-E128,"")</f>
        <v/>
      </c>
      <c r="L128">
        <f>IFERROR(IF(K128&lt;=90,"ATIVO",IF(K128&lt;=365,"MORNO","DORMENTE")),"")</f>
        <v/>
      </c>
    </row>
    <row r="129">
      <c r="D129" s="6" t="n"/>
      <c r="E129" s="6" t="n"/>
      <c r="G129" s="7" t="n"/>
      <c r="J129" s="7">
        <f>IFERROR(G129/F129,"")</f>
        <v/>
      </c>
      <c r="K129">
        <f>IFERROR(TODAY()-E129,"")</f>
        <v/>
      </c>
      <c r="L129">
        <f>IFERROR(IF(K129&lt;=90,"ATIVO",IF(K129&lt;=365,"MORNO","DORMENTE")),"")</f>
        <v/>
      </c>
    </row>
    <row r="130">
      <c r="D130" s="6" t="n"/>
      <c r="E130" s="6" t="n"/>
      <c r="G130" s="7" t="n"/>
      <c r="J130" s="7">
        <f>IFERROR(G130/F130,"")</f>
        <v/>
      </c>
      <c r="K130">
        <f>IFERROR(TODAY()-E130,"")</f>
        <v/>
      </c>
      <c r="L130">
        <f>IFERROR(IF(K130&lt;=90,"ATIVO",IF(K130&lt;=365,"MORNO","DORMENTE")),"")</f>
        <v/>
      </c>
    </row>
    <row r="131">
      <c r="D131" s="6" t="n"/>
      <c r="E131" s="6" t="n"/>
      <c r="G131" s="7" t="n"/>
      <c r="J131" s="7">
        <f>IFERROR(G131/F131,"")</f>
        <v/>
      </c>
      <c r="K131">
        <f>IFERROR(TODAY()-E131,"")</f>
        <v/>
      </c>
      <c r="L131">
        <f>IFERROR(IF(K131&lt;=90,"ATIVO",IF(K131&lt;=365,"MORNO","DORMENTE")),"")</f>
        <v/>
      </c>
    </row>
    <row r="132">
      <c r="D132" s="6" t="n"/>
      <c r="E132" s="6" t="n"/>
      <c r="G132" s="7" t="n"/>
      <c r="J132" s="7">
        <f>IFERROR(G132/F132,"")</f>
        <v/>
      </c>
      <c r="K132">
        <f>IFERROR(TODAY()-E132,"")</f>
        <v/>
      </c>
      <c r="L132">
        <f>IFERROR(IF(K132&lt;=90,"ATIVO",IF(K132&lt;=365,"MORNO","DORMENTE")),"")</f>
        <v/>
      </c>
    </row>
    <row r="133">
      <c r="D133" s="6" t="n"/>
      <c r="E133" s="6" t="n"/>
      <c r="G133" s="7" t="n"/>
      <c r="J133" s="7">
        <f>IFERROR(G133/F133,"")</f>
        <v/>
      </c>
      <c r="K133">
        <f>IFERROR(TODAY()-E133,"")</f>
        <v/>
      </c>
      <c r="L133">
        <f>IFERROR(IF(K133&lt;=90,"ATIVO",IF(K133&lt;=365,"MORNO","DORMENTE")),"")</f>
        <v/>
      </c>
    </row>
    <row r="134">
      <c r="D134" s="6" t="n"/>
      <c r="E134" s="6" t="n"/>
      <c r="G134" s="7" t="n"/>
      <c r="J134" s="7">
        <f>IFERROR(G134/F134,"")</f>
        <v/>
      </c>
      <c r="K134">
        <f>IFERROR(TODAY()-E134,"")</f>
        <v/>
      </c>
      <c r="L134">
        <f>IFERROR(IF(K134&lt;=90,"ATIVO",IF(K134&lt;=365,"MORNO","DORMENTE")),"")</f>
        <v/>
      </c>
    </row>
    <row r="135">
      <c r="D135" s="6" t="n"/>
      <c r="E135" s="6" t="n"/>
      <c r="G135" s="7" t="n"/>
      <c r="J135" s="7">
        <f>IFERROR(G135/F135,"")</f>
        <v/>
      </c>
      <c r="K135">
        <f>IFERROR(TODAY()-E135,"")</f>
        <v/>
      </c>
      <c r="L135">
        <f>IFERROR(IF(K135&lt;=90,"ATIVO",IF(K135&lt;=365,"MORNO","DORMENTE")),"")</f>
        <v/>
      </c>
    </row>
    <row r="136">
      <c r="D136" s="6" t="n"/>
      <c r="E136" s="6" t="n"/>
      <c r="G136" s="7" t="n"/>
      <c r="J136" s="7">
        <f>IFERROR(G136/F136,"")</f>
        <v/>
      </c>
      <c r="K136">
        <f>IFERROR(TODAY()-E136,"")</f>
        <v/>
      </c>
      <c r="L136">
        <f>IFERROR(IF(K136&lt;=90,"ATIVO",IF(K136&lt;=365,"MORNO","DORMENTE")),"")</f>
        <v/>
      </c>
    </row>
    <row r="137">
      <c r="D137" s="6" t="n"/>
      <c r="E137" s="6" t="n"/>
      <c r="G137" s="7" t="n"/>
      <c r="J137" s="7">
        <f>IFERROR(G137/F137,"")</f>
        <v/>
      </c>
      <c r="K137">
        <f>IFERROR(TODAY()-E137,"")</f>
        <v/>
      </c>
      <c r="L137">
        <f>IFERROR(IF(K137&lt;=90,"ATIVO",IF(K137&lt;=365,"MORNO","DORMENTE")),"")</f>
        <v/>
      </c>
    </row>
    <row r="138">
      <c r="D138" s="6" t="n"/>
      <c r="E138" s="6" t="n"/>
      <c r="G138" s="7" t="n"/>
      <c r="J138" s="7">
        <f>IFERROR(G138/F138,"")</f>
        <v/>
      </c>
      <c r="K138">
        <f>IFERROR(TODAY()-E138,"")</f>
        <v/>
      </c>
      <c r="L138">
        <f>IFERROR(IF(K138&lt;=90,"ATIVO",IF(K138&lt;=365,"MORNO","DORMENTE")),"")</f>
        <v/>
      </c>
    </row>
    <row r="139">
      <c r="D139" s="6" t="n"/>
      <c r="E139" s="6" t="n"/>
      <c r="G139" s="7" t="n"/>
      <c r="J139" s="7">
        <f>IFERROR(G139/F139,"")</f>
        <v/>
      </c>
      <c r="K139">
        <f>IFERROR(TODAY()-E139,"")</f>
        <v/>
      </c>
      <c r="L139">
        <f>IFERROR(IF(K139&lt;=90,"ATIVO",IF(K139&lt;=365,"MORNO","DORMENTE")),"")</f>
        <v/>
      </c>
    </row>
    <row r="140">
      <c r="D140" s="6" t="n"/>
      <c r="E140" s="6" t="n"/>
      <c r="G140" s="7" t="n"/>
      <c r="J140" s="7">
        <f>IFERROR(G140/F140,"")</f>
        <v/>
      </c>
      <c r="K140">
        <f>IFERROR(TODAY()-E140,"")</f>
        <v/>
      </c>
      <c r="L140">
        <f>IFERROR(IF(K140&lt;=90,"ATIVO",IF(K140&lt;=365,"MORNO","DORMENTE")),"")</f>
        <v/>
      </c>
    </row>
    <row r="141">
      <c r="D141" s="6" t="n"/>
      <c r="E141" s="6" t="n"/>
      <c r="G141" s="7" t="n"/>
      <c r="J141" s="7">
        <f>IFERROR(G141/F141,"")</f>
        <v/>
      </c>
      <c r="K141">
        <f>IFERROR(TODAY()-E141,"")</f>
        <v/>
      </c>
      <c r="L141">
        <f>IFERROR(IF(K141&lt;=90,"ATIVO",IF(K141&lt;=365,"MORNO","DORMENTE")),"")</f>
        <v/>
      </c>
    </row>
    <row r="142">
      <c r="D142" s="6" t="n"/>
      <c r="E142" s="6" t="n"/>
      <c r="G142" s="7" t="n"/>
      <c r="J142" s="7">
        <f>IFERROR(G142/F142,"")</f>
        <v/>
      </c>
      <c r="K142">
        <f>IFERROR(TODAY()-E142,"")</f>
        <v/>
      </c>
      <c r="L142">
        <f>IFERROR(IF(K142&lt;=90,"ATIVO",IF(K142&lt;=365,"MORNO","DORMENTE")),"")</f>
        <v/>
      </c>
    </row>
    <row r="143">
      <c r="D143" s="6" t="n"/>
      <c r="E143" s="6" t="n"/>
      <c r="G143" s="7" t="n"/>
      <c r="J143" s="7">
        <f>IFERROR(G143/F143,"")</f>
        <v/>
      </c>
      <c r="K143">
        <f>IFERROR(TODAY()-E143,"")</f>
        <v/>
      </c>
      <c r="L143">
        <f>IFERROR(IF(K143&lt;=90,"ATIVO",IF(K143&lt;=365,"MORNO","DORMENTE")),"")</f>
        <v/>
      </c>
    </row>
    <row r="144">
      <c r="D144" s="6" t="n"/>
      <c r="E144" s="6" t="n"/>
      <c r="G144" s="7" t="n"/>
      <c r="J144" s="7">
        <f>IFERROR(G144/F144,"")</f>
        <v/>
      </c>
      <c r="K144">
        <f>IFERROR(TODAY()-E144,"")</f>
        <v/>
      </c>
      <c r="L144">
        <f>IFERROR(IF(K144&lt;=90,"ATIVO",IF(K144&lt;=365,"MORNO","DORMENTE")),"")</f>
        <v/>
      </c>
    </row>
    <row r="145">
      <c r="D145" s="6" t="n"/>
      <c r="E145" s="6" t="n"/>
      <c r="G145" s="7" t="n"/>
      <c r="J145" s="7">
        <f>IFERROR(G145/F145,"")</f>
        <v/>
      </c>
      <c r="K145">
        <f>IFERROR(TODAY()-E145,"")</f>
        <v/>
      </c>
      <c r="L145">
        <f>IFERROR(IF(K145&lt;=90,"ATIVO",IF(K145&lt;=365,"MORNO","DORMENTE")),"")</f>
        <v/>
      </c>
    </row>
    <row r="146">
      <c r="D146" s="6" t="n"/>
      <c r="E146" s="6" t="n"/>
      <c r="G146" s="7" t="n"/>
      <c r="J146" s="7">
        <f>IFERROR(G146/F146,"")</f>
        <v/>
      </c>
      <c r="K146">
        <f>IFERROR(TODAY()-E146,"")</f>
        <v/>
      </c>
      <c r="L146">
        <f>IFERROR(IF(K146&lt;=90,"ATIVO",IF(K146&lt;=365,"MORNO","DORMENTE")),"")</f>
        <v/>
      </c>
    </row>
    <row r="147">
      <c r="D147" s="6" t="n"/>
      <c r="E147" s="6" t="n"/>
      <c r="G147" s="7" t="n"/>
      <c r="J147" s="7">
        <f>IFERROR(G147/F147,"")</f>
        <v/>
      </c>
      <c r="K147">
        <f>IFERROR(TODAY()-E147,"")</f>
        <v/>
      </c>
      <c r="L147">
        <f>IFERROR(IF(K147&lt;=90,"ATIVO",IF(K147&lt;=365,"MORNO","DORMENTE")),"")</f>
        <v/>
      </c>
    </row>
    <row r="148">
      <c r="D148" s="6" t="n"/>
      <c r="E148" s="6" t="n"/>
      <c r="G148" s="7" t="n"/>
      <c r="J148" s="7">
        <f>IFERROR(G148/F148,"")</f>
        <v/>
      </c>
      <c r="K148">
        <f>IFERROR(TODAY()-E148,"")</f>
        <v/>
      </c>
      <c r="L148">
        <f>IFERROR(IF(K148&lt;=90,"ATIVO",IF(K148&lt;=365,"MORNO","DORMENTE")),"")</f>
        <v/>
      </c>
    </row>
    <row r="149">
      <c r="D149" s="6" t="n"/>
      <c r="E149" s="6" t="n"/>
      <c r="G149" s="7" t="n"/>
      <c r="J149" s="7">
        <f>IFERROR(G149/F149,"")</f>
        <v/>
      </c>
      <c r="K149">
        <f>IFERROR(TODAY()-E149,"")</f>
        <v/>
      </c>
      <c r="L149">
        <f>IFERROR(IF(K149&lt;=90,"ATIVO",IF(K149&lt;=365,"MORNO","DORMENTE")),"")</f>
        <v/>
      </c>
    </row>
    <row r="150">
      <c r="D150" s="6" t="n"/>
      <c r="E150" s="6" t="n"/>
      <c r="G150" s="7" t="n"/>
      <c r="J150" s="7">
        <f>IFERROR(G150/F150,"")</f>
        <v/>
      </c>
      <c r="K150">
        <f>IFERROR(TODAY()-E150,"")</f>
        <v/>
      </c>
      <c r="L150">
        <f>IFERROR(IF(K150&lt;=90,"ATIVO",IF(K150&lt;=365,"MORNO","DORMENTE")),"")</f>
        <v/>
      </c>
    </row>
    <row r="151">
      <c r="D151" s="6" t="n"/>
      <c r="E151" s="6" t="n"/>
      <c r="G151" s="7" t="n"/>
      <c r="J151" s="7">
        <f>IFERROR(G151/F151,"")</f>
        <v/>
      </c>
      <c r="K151">
        <f>IFERROR(TODAY()-E151,"")</f>
        <v/>
      </c>
      <c r="L151">
        <f>IFERROR(IF(K151&lt;=90,"ATIVO",IF(K151&lt;=365,"MORNO","DORMENTE")),"")</f>
        <v/>
      </c>
    </row>
    <row r="152">
      <c r="D152" s="6" t="n"/>
      <c r="E152" s="6" t="n"/>
      <c r="G152" s="7" t="n"/>
      <c r="J152" s="7">
        <f>IFERROR(G152/F152,"")</f>
        <v/>
      </c>
      <c r="K152">
        <f>IFERROR(TODAY()-E152,"")</f>
        <v/>
      </c>
      <c r="L152">
        <f>IFERROR(IF(K152&lt;=90,"ATIVO",IF(K152&lt;=365,"MORNO","DORMENTE")),"")</f>
        <v/>
      </c>
    </row>
    <row r="153">
      <c r="D153" s="6" t="n"/>
      <c r="E153" s="6" t="n"/>
      <c r="G153" s="7" t="n"/>
      <c r="J153" s="7">
        <f>IFERROR(G153/F153,"")</f>
        <v/>
      </c>
      <c r="K153">
        <f>IFERROR(TODAY()-E153,"")</f>
        <v/>
      </c>
      <c r="L153">
        <f>IFERROR(IF(K153&lt;=90,"ATIVO",IF(K153&lt;=365,"MORNO","DORMENTE")),"")</f>
        <v/>
      </c>
    </row>
    <row r="154">
      <c r="D154" s="6" t="n"/>
      <c r="E154" s="6" t="n"/>
      <c r="G154" s="7" t="n"/>
      <c r="J154" s="7">
        <f>IFERROR(G154/F154,"")</f>
        <v/>
      </c>
      <c r="K154">
        <f>IFERROR(TODAY()-E154,"")</f>
        <v/>
      </c>
      <c r="L154">
        <f>IFERROR(IF(K154&lt;=90,"ATIVO",IF(K154&lt;=365,"MORNO","DORMENTE")),"")</f>
        <v/>
      </c>
    </row>
    <row r="155">
      <c r="D155" s="6" t="n"/>
      <c r="E155" s="6" t="n"/>
      <c r="G155" s="7" t="n"/>
      <c r="J155" s="7">
        <f>IFERROR(G155/F155,"")</f>
        <v/>
      </c>
      <c r="K155">
        <f>IFERROR(TODAY()-E155,"")</f>
        <v/>
      </c>
      <c r="L155">
        <f>IFERROR(IF(K155&lt;=90,"ATIVO",IF(K155&lt;=365,"MORNO","DORMENTE")),"")</f>
        <v/>
      </c>
    </row>
    <row r="156">
      <c r="D156" s="6" t="n"/>
      <c r="E156" s="6" t="n"/>
      <c r="G156" s="7" t="n"/>
      <c r="J156" s="7">
        <f>IFERROR(G156/F156,"")</f>
        <v/>
      </c>
      <c r="K156">
        <f>IFERROR(TODAY()-E156,"")</f>
        <v/>
      </c>
      <c r="L156">
        <f>IFERROR(IF(K156&lt;=90,"ATIVO",IF(K156&lt;=365,"MORNO","DORMENTE")),"")</f>
        <v/>
      </c>
    </row>
    <row r="157">
      <c r="D157" s="6" t="n"/>
      <c r="E157" s="6" t="n"/>
      <c r="G157" s="7" t="n"/>
      <c r="J157" s="7">
        <f>IFERROR(G157/F157,"")</f>
        <v/>
      </c>
      <c r="K157">
        <f>IFERROR(TODAY()-E157,"")</f>
        <v/>
      </c>
      <c r="L157">
        <f>IFERROR(IF(K157&lt;=90,"ATIVO",IF(K157&lt;=365,"MORNO","DORMENTE")),"")</f>
        <v/>
      </c>
    </row>
    <row r="158">
      <c r="D158" s="6" t="n"/>
      <c r="E158" s="6" t="n"/>
      <c r="G158" s="7" t="n"/>
      <c r="J158" s="7">
        <f>IFERROR(G158/F158,"")</f>
        <v/>
      </c>
      <c r="K158">
        <f>IFERROR(TODAY()-E158,"")</f>
        <v/>
      </c>
      <c r="L158">
        <f>IFERROR(IF(K158&lt;=90,"ATIVO",IF(K158&lt;=365,"MORNO","DORMENTE")),"")</f>
        <v/>
      </c>
    </row>
    <row r="159">
      <c r="D159" s="6" t="n"/>
      <c r="E159" s="6" t="n"/>
      <c r="G159" s="7" t="n"/>
      <c r="J159" s="7">
        <f>IFERROR(G159/F159,"")</f>
        <v/>
      </c>
      <c r="K159">
        <f>IFERROR(TODAY()-E159,"")</f>
        <v/>
      </c>
      <c r="L159">
        <f>IFERROR(IF(K159&lt;=90,"ATIVO",IF(K159&lt;=365,"MORNO","DORMENTE")),"")</f>
        <v/>
      </c>
    </row>
    <row r="160">
      <c r="D160" s="6" t="n"/>
      <c r="E160" s="6" t="n"/>
      <c r="G160" s="7" t="n"/>
      <c r="J160" s="7">
        <f>IFERROR(G160/F160,"")</f>
        <v/>
      </c>
      <c r="K160">
        <f>IFERROR(TODAY()-E160,"")</f>
        <v/>
      </c>
      <c r="L160">
        <f>IFERROR(IF(K160&lt;=90,"ATIVO",IF(K160&lt;=365,"MORNO","DORMENTE")),"")</f>
        <v/>
      </c>
    </row>
    <row r="161">
      <c r="D161" s="6" t="n"/>
      <c r="E161" s="6" t="n"/>
      <c r="G161" s="7" t="n"/>
      <c r="J161" s="7">
        <f>IFERROR(G161/F161,"")</f>
        <v/>
      </c>
      <c r="K161">
        <f>IFERROR(TODAY()-E161,"")</f>
        <v/>
      </c>
      <c r="L161">
        <f>IFERROR(IF(K161&lt;=90,"ATIVO",IF(K161&lt;=365,"MORNO","DORMENTE")),"")</f>
        <v/>
      </c>
    </row>
    <row r="162">
      <c r="D162" s="6" t="n"/>
      <c r="E162" s="6" t="n"/>
      <c r="G162" s="7" t="n"/>
      <c r="J162" s="7">
        <f>IFERROR(G162/F162,"")</f>
        <v/>
      </c>
      <c r="K162">
        <f>IFERROR(TODAY()-E162,"")</f>
        <v/>
      </c>
      <c r="L162">
        <f>IFERROR(IF(K162&lt;=90,"ATIVO",IF(K162&lt;=365,"MORNO","DORMENTE")),"")</f>
        <v/>
      </c>
    </row>
    <row r="163">
      <c r="D163" s="6" t="n"/>
      <c r="E163" s="6" t="n"/>
      <c r="G163" s="7" t="n"/>
      <c r="J163" s="7">
        <f>IFERROR(G163/F163,"")</f>
        <v/>
      </c>
      <c r="K163">
        <f>IFERROR(TODAY()-E163,"")</f>
        <v/>
      </c>
      <c r="L163">
        <f>IFERROR(IF(K163&lt;=90,"ATIVO",IF(K163&lt;=365,"MORNO","DORMENTE")),"")</f>
        <v/>
      </c>
    </row>
    <row r="164">
      <c r="D164" s="6" t="n"/>
      <c r="E164" s="6" t="n"/>
      <c r="G164" s="7" t="n"/>
      <c r="J164" s="7">
        <f>IFERROR(G164/F164,"")</f>
        <v/>
      </c>
      <c r="K164">
        <f>IFERROR(TODAY()-E164,"")</f>
        <v/>
      </c>
      <c r="L164">
        <f>IFERROR(IF(K164&lt;=90,"ATIVO",IF(K164&lt;=365,"MORNO","DORMENTE")),"")</f>
        <v/>
      </c>
    </row>
    <row r="165">
      <c r="D165" s="6" t="n"/>
      <c r="E165" s="6" t="n"/>
      <c r="G165" s="7" t="n"/>
      <c r="J165" s="7">
        <f>IFERROR(G165/F165,"")</f>
        <v/>
      </c>
      <c r="K165">
        <f>IFERROR(TODAY()-E165,"")</f>
        <v/>
      </c>
      <c r="L165">
        <f>IFERROR(IF(K165&lt;=90,"ATIVO",IF(K165&lt;=365,"MORNO","DORMENTE")),"")</f>
        <v/>
      </c>
    </row>
    <row r="166">
      <c r="D166" s="6" t="n"/>
      <c r="E166" s="6" t="n"/>
      <c r="G166" s="7" t="n"/>
      <c r="J166" s="7">
        <f>IFERROR(G166/F166,"")</f>
        <v/>
      </c>
      <c r="K166">
        <f>IFERROR(TODAY()-E166,"")</f>
        <v/>
      </c>
      <c r="L166">
        <f>IFERROR(IF(K166&lt;=90,"ATIVO",IF(K166&lt;=365,"MORNO","DORMENTE")),"")</f>
        <v/>
      </c>
    </row>
    <row r="167">
      <c r="D167" s="6" t="n"/>
      <c r="E167" s="6" t="n"/>
      <c r="G167" s="7" t="n"/>
      <c r="J167" s="7">
        <f>IFERROR(G167/F167,"")</f>
        <v/>
      </c>
      <c r="K167">
        <f>IFERROR(TODAY()-E167,"")</f>
        <v/>
      </c>
      <c r="L167">
        <f>IFERROR(IF(K167&lt;=90,"ATIVO",IF(K167&lt;=365,"MORNO","DORMENTE")),"")</f>
        <v/>
      </c>
    </row>
    <row r="168">
      <c r="D168" s="6" t="n"/>
      <c r="E168" s="6" t="n"/>
      <c r="G168" s="7" t="n"/>
      <c r="J168" s="7">
        <f>IFERROR(G168/F168,"")</f>
        <v/>
      </c>
      <c r="K168">
        <f>IFERROR(TODAY()-E168,"")</f>
        <v/>
      </c>
      <c r="L168">
        <f>IFERROR(IF(K168&lt;=90,"ATIVO",IF(K168&lt;=365,"MORNO","DORMENTE")),"")</f>
        <v/>
      </c>
    </row>
    <row r="169">
      <c r="D169" s="6" t="n"/>
      <c r="E169" s="6" t="n"/>
      <c r="G169" s="7" t="n"/>
      <c r="J169" s="7">
        <f>IFERROR(G169/F169,"")</f>
        <v/>
      </c>
      <c r="K169">
        <f>IFERROR(TODAY()-E169,"")</f>
        <v/>
      </c>
      <c r="L169">
        <f>IFERROR(IF(K169&lt;=90,"ATIVO",IF(K169&lt;=365,"MORNO","DORMENTE")),"")</f>
        <v/>
      </c>
    </row>
    <row r="170">
      <c r="D170" s="6" t="n"/>
      <c r="E170" s="6" t="n"/>
      <c r="G170" s="7" t="n"/>
      <c r="J170" s="7">
        <f>IFERROR(G170/F170,"")</f>
        <v/>
      </c>
      <c r="K170">
        <f>IFERROR(TODAY()-E170,"")</f>
        <v/>
      </c>
      <c r="L170">
        <f>IFERROR(IF(K170&lt;=90,"ATIVO",IF(K170&lt;=365,"MORNO","DORMENTE")),"")</f>
        <v/>
      </c>
    </row>
    <row r="171">
      <c r="D171" s="6" t="n"/>
      <c r="E171" s="6" t="n"/>
      <c r="G171" s="7" t="n"/>
      <c r="J171" s="7">
        <f>IFERROR(G171/F171,"")</f>
        <v/>
      </c>
      <c r="K171">
        <f>IFERROR(TODAY()-E171,"")</f>
        <v/>
      </c>
      <c r="L171">
        <f>IFERROR(IF(K171&lt;=90,"ATIVO",IF(K171&lt;=365,"MORNO","DORMENTE")),"")</f>
        <v/>
      </c>
    </row>
    <row r="172">
      <c r="D172" s="6" t="n"/>
      <c r="E172" s="6" t="n"/>
      <c r="G172" s="7" t="n"/>
      <c r="J172" s="7">
        <f>IFERROR(G172/F172,"")</f>
        <v/>
      </c>
      <c r="K172">
        <f>IFERROR(TODAY()-E172,"")</f>
        <v/>
      </c>
      <c r="L172">
        <f>IFERROR(IF(K172&lt;=90,"ATIVO",IF(K172&lt;=365,"MORNO","DORMENTE")),"")</f>
        <v/>
      </c>
    </row>
    <row r="173">
      <c r="D173" s="6" t="n"/>
      <c r="E173" s="6" t="n"/>
      <c r="G173" s="7" t="n"/>
      <c r="J173" s="7">
        <f>IFERROR(G173/F173,"")</f>
        <v/>
      </c>
      <c r="K173">
        <f>IFERROR(TODAY()-E173,"")</f>
        <v/>
      </c>
      <c r="L173">
        <f>IFERROR(IF(K173&lt;=90,"ATIVO",IF(K173&lt;=365,"MORNO","DORMENTE")),"")</f>
        <v/>
      </c>
    </row>
    <row r="174">
      <c r="D174" s="6" t="n"/>
      <c r="E174" s="6" t="n"/>
      <c r="G174" s="7" t="n"/>
      <c r="J174" s="7">
        <f>IFERROR(G174/F174,"")</f>
        <v/>
      </c>
      <c r="K174">
        <f>IFERROR(TODAY()-E174,"")</f>
        <v/>
      </c>
      <c r="L174">
        <f>IFERROR(IF(K174&lt;=90,"ATIVO",IF(K174&lt;=365,"MORNO","DORMENTE")),"")</f>
        <v/>
      </c>
    </row>
    <row r="175">
      <c r="D175" s="6" t="n"/>
      <c r="E175" s="6" t="n"/>
      <c r="G175" s="7" t="n"/>
      <c r="J175" s="7">
        <f>IFERROR(G175/F175,"")</f>
        <v/>
      </c>
      <c r="K175">
        <f>IFERROR(TODAY()-E175,"")</f>
        <v/>
      </c>
      <c r="L175">
        <f>IFERROR(IF(K175&lt;=90,"ATIVO",IF(K175&lt;=365,"MORNO","DORMENTE")),"")</f>
        <v/>
      </c>
    </row>
    <row r="176">
      <c r="D176" s="6" t="n"/>
      <c r="E176" s="6" t="n"/>
      <c r="G176" s="7" t="n"/>
      <c r="J176" s="7">
        <f>IFERROR(G176/F176,"")</f>
        <v/>
      </c>
      <c r="K176">
        <f>IFERROR(TODAY()-E176,"")</f>
        <v/>
      </c>
      <c r="L176">
        <f>IFERROR(IF(K176&lt;=90,"ATIVO",IF(K176&lt;=365,"MORNO","DORMENTE")),"")</f>
        <v/>
      </c>
    </row>
    <row r="177">
      <c r="D177" s="6" t="n"/>
      <c r="E177" s="6" t="n"/>
      <c r="G177" s="7" t="n"/>
      <c r="J177" s="7">
        <f>IFERROR(G177/F177,"")</f>
        <v/>
      </c>
      <c r="K177">
        <f>IFERROR(TODAY()-E177,"")</f>
        <v/>
      </c>
      <c r="L177">
        <f>IFERROR(IF(K177&lt;=90,"ATIVO",IF(K177&lt;=365,"MORNO","DORMENTE")),"")</f>
        <v/>
      </c>
    </row>
    <row r="178">
      <c r="D178" s="6" t="n"/>
      <c r="E178" s="6" t="n"/>
      <c r="G178" s="7" t="n"/>
      <c r="J178" s="7">
        <f>IFERROR(G178/F178,"")</f>
        <v/>
      </c>
      <c r="K178">
        <f>IFERROR(TODAY()-E178,"")</f>
        <v/>
      </c>
      <c r="L178">
        <f>IFERROR(IF(K178&lt;=90,"ATIVO",IF(K178&lt;=365,"MORNO","DORMENTE")),"")</f>
        <v/>
      </c>
    </row>
    <row r="179">
      <c r="D179" s="6" t="n"/>
      <c r="E179" s="6" t="n"/>
      <c r="G179" s="7" t="n"/>
      <c r="J179" s="7">
        <f>IFERROR(G179/F179,"")</f>
        <v/>
      </c>
      <c r="K179">
        <f>IFERROR(TODAY()-E179,"")</f>
        <v/>
      </c>
      <c r="L179">
        <f>IFERROR(IF(K179&lt;=90,"ATIVO",IF(K179&lt;=365,"MORNO","DORMENTE")),"")</f>
        <v/>
      </c>
    </row>
    <row r="180">
      <c r="D180" s="6" t="n"/>
      <c r="E180" s="6" t="n"/>
      <c r="G180" s="7" t="n"/>
      <c r="J180" s="7">
        <f>IFERROR(G180/F180,"")</f>
        <v/>
      </c>
      <c r="K180">
        <f>IFERROR(TODAY()-E180,"")</f>
        <v/>
      </c>
      <c r="L180">
        <f>IFERROR(IF(K180&lt;=90,"ATIVO",IF(K180&lt;=365,"MORNO","DORMENTE")),"")</f>
        <v/>
      </c>
    </row>
    <row r="181">
      <c r="D181" s="6" t="n"/>
      <c r="E181" s="6" t="n"/>
      <c r="G181" s="7" t="n"/>
      <c r="J181" s="7">
        <f>IFERROR(G181/F181,"")</f>
        <v/>
      </c>
      <c r="K181">
        <f>IFERROR(TODAY()-E181,"")</f>
        <v/>
      </c>
      <c r="L181">
        <f>IFERROR(IF(K181&lt;=90,"ATIVO",IF(K181&lt;=365,"MORNO","DORMENTE")),"")</f>
        <v/>
      </c>
    </row>
    <row r="182">
      <c r="D182" s="6" t="n"/>
      <c r="E182" s="6" t="n"/>
      <c r="G182" s="7" t="n"/>
      <c r="J182" s="7">
        <f>IFERROR(G182/F182,"")</f>
        <v/>
      </c>
      <c r="K182">
        <f>IFERROR(TODAY()-E182,"")</f>
        <v/>
      </c>
      <c r="L182">
        <f>IFERROR(IF(K182&lt;=90,"ATIVO",IF(K182&lt;=365,"MORNO","DORMENTE")),"")</f>
        <v/>
      </c>
    </row>
    <row r="183">
      <c r="D183" s="6" t="n"/>
      <c r="E183" s="6" t="n"/>
      <c r="G183" s="7" t="n"/>
      <c r="J183" s="7">
        <f>IFERROR(G183/F183,"")</f>
        <v/>
      </c>
      <c r="K183">
        <f>IFERROR(TODAY()-E183,"")</f>
        <v/>
      </c>
      <c r="L183">
        <f>IFERROR(IF(K183&lt;=90,"ATIVO",IF(K183&lt;=365,"MORNO","DORMENTE")),"")</f>
        <v/>
      </c>
    </row>
    <row r="184">
      <c r="D184" s="6" t="n"/>
      <c r="E184" s="6" t="n"/>
      <c r="G184" s="7" t="n"/>
      <c r="J184" s="7">
        <f>IFERROR(G184/F184,"")</f>
        <v/>
      </c>
      <c r="K184">
        <f>IFERROR(TODAY()-E184,"")</f>
        <v/>
      </c>
      <c r="L184">
        <f>IFERROR(IF(K184&lt;=90,"ATIVO",IF(K184&lt;=365,"MORNO","DORMENTE")),"")</f>
        <v/>
      </c>
    </row>
    <row r="185">
      <c r="D185" s="6" t="n"/>
      <c r="E185" s="6" t="n"/>
      <c r="G185" s="7" t="n"/>
      <c r="J185" s="7">
        <f>IFERROR(G185/F185,"")</f>
        <v/>
      </c>
      <c r="K185">
        <f>IFERROR(TODAY()-E185,"")</f>
        <v/>
      </c>
      <c r="L185">
        <f>IFERROR(IF(K185&lt;=90,"ATIVO",IF(K185&lt;=365,"MORNO","DORMENTE")),"")</f>
        <v/>
      </c>
    </row>
    <row r="186">
      <c r="D186" s="6" t="n"/>
      <c r="E186" s="6" t="n"/>
      <c r="G186" s="7" t="n"/>
      <c r="J186" s="7">
        <f>IFERROR(G186/F186,"")</f>
        <v/>
      </c>
      <c r="K186">
        <f>IFERROR(TODAY()-E186,"")</f>
        <v/>
      </c>
      <c r="L186">
        <f>IFERROR(IF(K186&lt;=90,"ATIVO",IF(K186&lt;=365,"MORNO","DORMENTE")),"")</f>
        <v/>
      </c>
    </row>
    <row r="187">
      <c r="D187" s="6" t="n"/>
      <c r="E187" s="6" t="n"/>
      <c r="G187" s="7" t="n"/>
      <c r="J187" s="7">
        <f>IFERROR(G187/F187,"")</f>
        <v/>
      </c>
      <c r="K187">
        <f>IFERROR(TODAY()-E187,"")</f>
        <v/>
      </c>
      <c r="L187">
        <f>IFERROR(IF(K187&lt;=90,"ATIVO",IF(K187&lt;=365,"MORNO","DORMENTE")),"")</f>
        <v/>
      </c>
    </row>
    <row r="188">
      <c r="D188" s="6" t="n"/>
      <c r="E188" s="6" t="n"/>
      <c r="G188" s="7" t="n"/>
      <c r="J188" s="7">
        <f>IFERROR(G188/F188,"")</f>
        <v/>
      </c>
      <c r="K188">
        <f>IFERROR(TODAY()-E188,"")</f>
        <v/>
      </c>
      <c r="L188">
        <f>IFERROR(IF(K188&lt;=90,"ATIVO",IF(K188&lt;=365,"MORNO","DORMENTE")),"")</f>
        <v/>
      </c>
    </row>
    <row r="189">
      <c r="D189" s="6" t="n"/>
      <c r="E189" s="6" t="n"/>
      <c r="G189" s="7" t="n"/>
      <c r="J189" s="7">
        <f>IFERROR(G189/F189,"")</f>
        <v/>
      </c>
      <c r="K189">
        <f>IFERROR(TODAY()-E189,"")</f>
        <v/>
      </c>
      <c r="L189">
        <f>IFERROR(IF(K189&lt;=90,"ATIVO",IF(K189&lt;=365,"MORNO","DORMENTE")),"")</f>
        <v/>
      </c>
    </row>
    <row r="190">
      <c r="D190" s="6" t="n"/>
      <c r="E190" s="6" t="n"/>
      <c r="G190" s="7" t="n"/>
      <c r="J190" s="7">
        <f>IFERROR(G190/F190,"")</f>
        <v/>
      </c>
      <c r="K190">
        <f>IFERROR(TODAY()-E190,"")</f>
        <v/>
      </c>
      <c r="L190">
        <f>IFERROR(IF(K190&lt;=90,"ATIVO",IF(K190&lt;=365,"MORNO","DORMENTE")),"")</f>
        <v/>
      </c>
    </row>
    <row r="191">
      <c r="D191" s="6" t="n"/>
      <c r="E191" s="6" t="n"/>
      <c r="G191" s="7" t="n"/>
      <c r="J191" s="7">
        <f>IFERROR(G191/F191,"")</f>
        <v/>
      </c>
      <c r="K191">
        <f>IFERROR(TODAY()-E191,"")</f>
        <v/>
      </c>
      <c r="L191">
        <f>IFERROR(IF(K191&lt;=90,"ATIVO",IF(K191&lt;=365,"MORNO","DORMENTE")),"")</f>
        <v/>
      </c>
    </row>
    <row r="192">
      <c r="D192" s="6" t="n"/>
      <c r="E192" s="6" t="n"/>
      <c r="G192" s="7" t="n"/>
      <c r="J192" s="7">
        <f>IFERROR(G192/F192,"")</f>
        <v/>
      </c>
      <c r="K192">
        <f>IFERROR(TODAY()-E192,"")</f>
        <v/>
      </c>
      <c r="L192">
        <f>IFERROR(IF(K192&lt;=90,"ATIVO",IF(K192&lt;=365,"MORNO","DORMENTE")),"")</f>
        <v/>
      </c>
    </row>
    <row r="193">
      <c r="D193" s="6" t="n"/>
      <c r="E193" s="6" t="n"/>
      <c r="G193" s="7" t="n"/>
      <c r="J193" s="7">
        <f>IFERROR(G193/F193,"")</f>
        <v/>
      </c>
      <c r="K193">
        <f>IFERROR(TODAY()-E193,"")</f>
        <v/>
      </c>
      <c r="L193">
        <f>IFERROR(IF(K193&lt;=90,"ATIVO",IF(K193&lt;=365,"MORNO","DORMENTE")),"")</f>
        <v/>
      </c>
    </row>
    <row r="194">
      <c r="D194" s="6" t="n"/>
      <c r="E194" s="6" t="n"/>
      <c r="G194" s="7" t="n"/>
      <c r="J194" s="7">
        <f>IFERROR(G194/F194,"")</f>
        <v/>
      </c>
      <c r="K194">
        <f>IFERROR(TODAY()-E194,"")</f>
        <v/>
      </c>
      <c r="L194">
        <f>IFERROR(IF(K194&lt;=90,"ATIVO",IF(K194&lt;=365,"MORNO","DORMENTE")),"")</f>
        <v/>
      </c>
    </row>
    <row r="195">
      <c r="D195" s="6" t="n"/>
      <c r="E195" s="6" t="n"/>
      <c r="G195" s="7" t="n"/>
      <c r="J195" s="7">
        <f>IFERROR(G195/F195,"")</f>
        <v/>
      </c>
      <c r="K195">
        <f>IFERROR(TODAY()-E195,"")</f>
        <v/>
      </c>
      <c r="L195">
        <f>IFERROR(IF(K195&lt;=90,"ATIVO",IF(K195&lt;=365,"MORNO","DORMENTE")),"")</f>
        <v/>
      </c>
    </row>
    <row r="196">
      <c r="D196" s="6" t="n"/>
      <c r="E196" s="6" t="n"/>
      <c r="G196" s="7" t="n"/>
      <c r="J196" s="7">
        <f>IFERROR(G196/F196,"")</f>
        <v/>
      </c>
      <c r="K196">
        <f>IFERROR(TODAY()-E196,"")</f>
        <v/>
      </c>
      <c r="L196">
        <f>IFERROR(IF(K196&lt;=90,"ATIVO",IF(K196&lt;=365,"MORNO","DORMENTE")),"")</f>
        <v/>
      </c>
    </row>
    <row r="197">
      <c r="D197" s="6" t="n"/>
      <c r="E197" s="6" t="n"/>
      <c r="G197" s="7" t="n"/>
      <c r="J197" s="7">
        <f>IFERROR(G197/F197,"")</f>
        <v/>
      </c>
      <c r="K197">
        <f>IFERROR(TODAY()-E197,"")</f>
        <v/>
      </c>
      <c r="L197">
        <f>IFERROR(IF(K197&lt;=90,"ATIVO",IF(K197&lt;=365,"MORNO","DORMENTE")),"")</f>
        <v/>
      </c>
    </row>
    <row r="198">
      <c r="D198" s="6" t="n"/>
      <c r="E198" s="6" t="n"/>
      <c r="G198" s="7" t="n"/>
      <c r="J198" s="7">
        <f>IFERROR(G198/F198,"")</f>
        <v/>
      </c>
      <c r="K198">
        <f>IFERROR(TODAY()-E198,"")</f>
        <v/>
      </c>
      <c r="L198">
        <f>IFERROR(IF(K198&lt;=90,"ATIVO",IF(K198&lt;=365,"MORNO","DORMENTE")),"")</f>
        <v/>
      </c>
    </row>
    <row r="199">
      <c r="D199" s="6" t="n"/>
      <c r="E199" s="6" t="n"/>
      <c r="G199" s="7" t="n"/>
      <c r="J199" s="7">
        <f>IFERROR(G199/F199,"")</f>
        <v/>
      </c>
      <c r="K199">
        <f>IFERROR(TODAY()-E199,"")</f>
        <v/>
      </c>
      <c r="L199">
        <f>IFERROR(IF(K199&lt;=90,"ATIVO",IF(K199&lt;=365,"MORNO","DORMENTE")),"")</f>
        <v/>
      </c>
    </row>
    <row r="200">
      <c r="D200" s="6" t="n"/>
      <c r="E200" s="6" t="n"/>
      <c r="G200" s="7" t="n"/>
      <c r="J200" s="7">
        <f>IFERROR(G200/F200,"")</f>
        <v/>
      </c>
      <c r="K200">
        <f>IFERROR(TODAY()-E200,"")</f>
        <v/>
      </c>
      <c r="L200">
        <f>IFERROR(IF(K200&lt;=90,"ATIVO",IF(K200&lt;=365,"MORNO","DORMENTE")),"")</f>
        <v/>
      </c>
    </row>
    <row r="201">
      <c r="D201" s="6" t="n"/>
      <c r="E201" s="6" t="n"/>
      <c r="G201" s="7" t="n"/>
      <c r="J201" s="7">
        <f>IFERROR(G201/F201,"")</f>
        <v/>
      </c>
      <c r="K201">
        <f>IFERROR(TODAY()-E201,"")</f>
        <v/>
      </c>
      <c r="L201">
        <f>IFERROR(IF(K201&lt;=90,"ATIVO",IF(K201&lt;=365,"MORNO","DORMENTE")),"")</f>
        <v/>
      </c>
    </row>
    <row r="202">
      <c r="D202" s="6" t="n"/>
      <c r="E202" s="6" t="n"/>
      <c r="G202" s="7" t="n"/>
      <c r="J202" s="7">
        <f>IFERROR(G202/F202,"")</f>
        <v/>
      </c>
      <c r="K202">
        <f>IFERROR(TODAY()-E202,"")</f>
        <v/>
      </c>
      <c r="L202">
        <f>IFERROR(IF(K202&lt;=90,"ATIVO",IF(K202&lt;=365,"MORNO","DORMENTE")),"")</f>
        <v/>
      </c>
    </row>
    <row r="203">
      <c r="D203" s="6" t="n"/>
      <c r="E203" s="6" t="n"/>
      <c r="G203" s="7" t="n"/>
      <c r="J203" s="7">
        <f>IFERROR(G203/F203,"")</f>
        <v/>
      </c>
      <c r="K203">
        <f>IFERROR(TODAY()-E203,"")</f>
        <v/>
      </c>
      <c r="L203">
        <f>IFERROR(IF(K203&lt;=90,"ATIVO",IF(K203&lt;=365,"MORNO","DORMENTE")),"")</f>
        <v/>
      </c>
    </row>
    <row r="204">
      <c r="D204" s="6" t="n"/>
      <c r="E204" s="6" t="n"/>
      <c r="G204" s="7" t="n"/>
      <c r="J204" s="7">
        <f>IFERROR(G204/F204,"")</f>
        <v/>
      </c>
      <c r="K204">
        <f>IFERROR(TODAY()-E204,"")</f>
        <v/>
      </c>
      <c r="L204">
        <f>IFERROR(IF(K204&lt;=90,"ATIVO",IF(K204&lt;=365,"MORNO","DORMENTE")),"")</f>
        <v/>
      </c>
    </row>
    <row r="205">
      <c r="D205" s="6" t="n"/>
      <c r="E205" s="6" t="n"/>
      <c r="G205" s="7" t="n"/>
      <c r="J205" s="7">
        <f>IFERROR(G205/F205,"")</f>
        <v/>
      </c>
      <c r="K205">
        <f>IFERROR(TODAY()-E205,"")</f>
        <v/>
      </c>
      <c r="L205">
        <f>IFERROR(IF(K205&lt;=90,"ATIVO",IF(K205&lt;=365,"MORNO","DORMENTE")),"")</f>
        <v/>
      </c>
    </row>
    <row r="206">
      <c r="D206" s="6" t="n"/>
      <c r="E206" s="6" t="n"/>
      <c r="G206" s="7" t="n"/>
      <c r="J206" s="7">
        <f>IFERROR(G206/F206,"")</f>
        <v/>
      </c>
      <c r="K206">
        <f>IFERROR(TODAY()-E206,"")</f>
        <v/>
      </c>
      <c r="L206">
        <f>IFERROR(IF(K206&lt;=90,"ATIVO",IF(K206&lt;=365,"MORNO","DORMENTE")),"")</f>
        <v/>
      </c>
    </row>
    <row r="207">
      <c r="D207" s="6" t="n"/>
      <c r="E207" s="6" t="n"/>
      <c r="G207" s="7" t="n"/>
      <c r="J207" s="7">
        <f>IFERROR(G207/F207,"")</f>
        <v/>
      </c>
      <c r="K207">
        <f>IFERROR(TODAY()-E207,"")</f>
        <v/>
      </c>
      <c r="L207">
        <f>IFERROR(IF(K207&lt;=90,"ATIVO",IF(K207&lt;=365,"MORNO","DORMENTE")),"")</f>
        <v/>
      </c>
    </row>
    <row r="208">
      <c r="D208" s="6" t="n"/>
      <c r="E208" s="6" t="n"/>
      <c r="G208" s="7" t="n"/>
      <c r="J208" s="7">
        <f>IFERROR(G208/F208,"")</f>
        <v/>
      </c>
      <c r="K208">
        <f>IFERROR(TODAY()-E208,"")</f>
        <v/>
      </c>
      <c r="L208">
        <f>IFERROR(IF(K208&lt;=90,"ATIVO",IF(K208&lt;=365,"MORNO","DORMENTE")),"")</f>
        <v/>
      </c>
    </row>
    <row r="209">
      <c r="D209" s="6" t="n"/>
      <c r="E209" s="6" t="n"/>
      <c r="G209" s="7" t="n"/>
      <c r="J209" s="7">
        <f>IFERROR(G209/F209,"")</f>
        <v/>
      </c>
      <c r="K209">
        <f>IFERROR(TODAY()-E209,"")</f>
        <v/>
      </c>
      <c r="L209">
        <f>IFERROR(IF(K209&lt;=90,"ATIVO",IF(K209&lt;=365,"MORNO","DORMENTE")),"")</f>
        <v/>
      </c>
    </row>
    <row r="210">
      <c r="D210" s="6" t="n"/>
      <c r="E210" s="6" t="n"/>
      <c r="G210" s="7" t="n"/>
      <c r="J210" s="7">
        <f>IFERROR(G210/F210,"")</f>
        <v/>
      </c>
      <c r="K210">
        <f>IFERROR(TODAY()-E210,"")</f>
        <v/>
      </c>
      <c r="L210">
        <f>IFERROR(IF(K210&lt;=90,"ATIVO",IF(K210&lt;=365,"MORNO","DORMENTE")),"")</f>
        <v/>
      </c>
    </row>
    <row r="211">
      <c r="D211" s="6" t="n"/>
      <c r="E211" s="6" t="n"/>
      <c r="G211" s="7" t="n"/>
      <c r="J211" s="7">
        <f>IFERROR(G211/F211,"")</f>
        <v/>
      </c>
      <c r="K211">
        <f>IFERROR(TODAY()-E211,"")</f>
        <v/>
      </c>
      <c r="L211">
        <f>IFERROR(IF(K211&lt;=90,"ATIVO",IF(K211&lt;=365,"MORNO","DORMENTE")),"")</f>
        <v/>
      </c>
    </row>
    <row r="212">
      <c r="D212" s="6" t="n"/>
      <c r="E212" s="6" t="n"/>
      <c r="G212" s="7" t="n"/>
      <c r="J212" s="7">
        <f>IFERROR(G212/F212,"")</f>
        <v/>
      </c>
      <c r="K212">
        <f>IFERROR(TODAY()-E212,"")</f>
        <v/>
      </c>
      <c r="L212">
        <f>IFERROR(IF(K212&lt;=90,"ATIVO",IF(K212&lt;=365,"MORNO","DORMENTE")),"")</f>
        <v/>
      </c>
    </row>
    <row r="213">
      <c r="D213" s="6" t="n"/>
      <c r="E213" s="6" t="n"/>
      <c r="G213" s="7" t="n"/>
      <c r="J213" s="7">
        <f>IFERROR(G213/F213,"")</f>
        <v/>
      </c>
      <c r="K213">
        <f>IFERROR(TODAY()-E213,"")</f>
        <v/>
      </c>
      <c r="L213">
        <f>IFERROR(IF(K213&lt;=90,"ATIVO",IF(K213&lt;=365,"MORNO","DORMENTE")),"")</f>
        <v/>
      </c>
    </row>
    <row r="214">
      <c r="D214" s="6" t="n"/>
      <c r="E214" s="6" t="n"/>
      <c r="G214" s="7" t="n"/>
      <c r="J214" s="7">
        <f>IFERROR(G214/F214,"")</f>
        <v/>
      </c>
      <c r="K214">
        <f>IFERROR(TODAY()-E214,"")</f>
        <v/>
      </c>
      <c r="L214">
        <f>IFERROR(IF(K214&lt;=90,"ATIVO",IF(K214&lt;=365,"MORNO","DORMENTE")),"")</f>
        <v/>
      </c>
    </row>
    <row r="215">
      <c r="D215" s="6" t="n"/>
      <c r="E215" s="6" t="n"/>
      <c r="G215" s="7" t="n"/>
      <c r="J215" s="7">
        <f>IFERROR(G215/F215,"")</f>
        <v/>
      </c>
      <c r="K215">
        <f>IFERROR(TODAY()-E215,"")</f>
        <v/>
      </c>
      <c r="L215">
        <f>IFERROR(IF(K215&lt;=90,"ATIVO",IF(K215&lt;=365,"MORNO","DORMENTE")),"")</f>
        <v/>
      </c>
    </row>
    <row r="216">
      <c r="D216" s="6" t="n"/>
      <c r="E216" s="6" t="n"/>
      <c r="G216" s="7" t="n"/>
      <c r="J216" s="7">
        <f>IFERROR(G216/F216,"")</f>
        <v/>
      </c>
      <c r="K216">
        <f>IFERROR(TODAY()-E216,"")</f>
        <v/>
      </c>
      <c r="L216">
        <f>IFERROR(IF(K216&lt;=90,"ATIVO",IF(K216&lt;=365,"MORNO","DORMENTE")),"")</f>
        <v/>
      </c>
    </row>
    <row r="217">
      <c r="D217" s="6" t="n"/>
      <c r="E217" s="6" t="n"/>
      <c r="G217" s="7" t="n"/>
      <c r="J217" s="7">
        <f>IFERROR(G217/F217,"")</f>
        <v/>
      </c>
      <c r="K217">
        <f>IFERROR(TODAY()-E217,"")</f>
        <v/>
      </c>
      <c r="L217">
        <f>IFERROR(IF(K217&lt;=90,"ATIVO",IF(K217&lt;=365,"MORNO","DORMENTE")),"")</f>
        <v/>
      </c>
    </row>
    <row r="218">
      <c r="D218" s="6" t="n"/>
      <c r="E218" s="6" t="n"/>
      <c r="G218" s="7" t="n"/>
      <c r="J218" s="7">
        <f>IFERROR(G218/F218,"")</f>
        <v/>
      </c>
      <c r="K218">
        <f>IFERROR(TODAY()-E218,"")</f>
        <v/>
      </c>
      <c r="L218">
        <f>IFERROR(IF(K218&lt;=90,"ATIVO",IF(K218&lt;=365,"MORNO","DORMENTE")),"")</f>
        <v/>
      </c>
    </row>
    <row r="219">
      <c r="D219" s="6" t="n"/>
      <c r="E219" s="6" t="n"/>
      <c r="G219" s="7" t="n"/>
      <c r="J219" s="7">
        <f>IFERROR(G219/F219,"")</f>
        <v/>
      </c>
      <c r="K219">
        <f>IFERROR(TODAY()-E219,"")</f>
        <v/>
      </c>
      <c r="L219">
        <f>IFERROR(IF(K219&lt;=90,"ATIVO",IF(K219&lt;=365,"MORNO","DORMENTE")),"")</f>
        <v/>
      </c>
    </row>
    <row r="220">
      <c r="D220" s="6" t="n"/>
      <c r="E220" s="6" t="n"/>
      <c r="G220" s="7" t="n"/>
      <c r="J220" s="7">
        <f>IFERROR(G220/F220,"")</f>
        <v/>
      </c>
      <c r="K220">
        <f>IFERROR(TODAY()-E220,"")</f>
        <v/>
      </c>
      <c r="L220">
        <f>IFERROR(IF(K220&lt;=90,"ATIVO",IF(K220&lt;=365,"MORNO","DORMENTE")),"")</f>
        <v/>
      </c>
    </row>
    <row r="221">
      <c r="D221" s="6" t="n"/>
      <c r="E221" s="6" t="n"/>
      <c r="G221" s="7" t="n"/>
      <c r="J221" s="7">
        <f>IFERROR(G221/F221,"")</f>
        <v/>
      </c>
      <c r="K221">
        <f>IFERROR(TODAY()-E221,"")</f>
        <v/>
      </c>
      <c r="L221">
        <f>IFERROR(IF(K221&lt;=90,"ATIVO",IF(K221&lt;=365,"MORNO","DORMENTE")),"")</f>
        <v/>
      </c>
    </row>
    <row r="222">
      <c r="D222" s="6" t="n"/>
      <c r="E222" s="6" t="n"/>
      <c r="G222" s="7" t="n"/>
      <c r="J222" s="7">
        <f>IFERROR(G222/F222,"")</f>
        <v/>
      </c>
      <c r="K222">
        <f>IFERROR(TODAY()-E222,"")</f>
        <v/>
      </c>
      <c r="L222">
        <f>IFERROR(IF(K222&lt;=90,"ATIVO",IF(K222&lt;=365,"MORNO","DORMENTE")),"")</f>
        <v/>
      </c>
    </row>
    <row r="223">
      <c r="D223" s="6" t="n"/>
      <c r="E223" s="6" t="n"/>
      <c r="G223" s="7" t="n"/>
      <c r="J223" s="7">
        <f>IFERROR(G223/F223,"")</f>
        <v/>
      </c>
      <c r="K223">
        <f>IFERROR(TODAY()-E223,"")</f>
        <v/>
      </c>
      <c r="L223">
        <f>IFERROR(IF(K223&lt;=90,"ATIVO",IF(K223&lt;=365,"MORNO","DORMENTE")),"")</f>
        <v/>
      </c>
    </row>
    <row r="224">
      <c r="D224" s="6" t="n"/>
      <c r="E224" s="6" t="n"/>
      <c r="G224" s="7" t="n"/>
      <c r="J224" s="7">
        <f>IFERROR(G224/F224,"")</f>
        <v/>
      </c>
      <c r="K224">
        <f>IFERROR(TODAY()-E224,"")</f>
        <v/>
      </c>
      <c r="L224">
        <f>IFERROR(IF(K224&lt;=90,"ATIVO",IF(K224&lt;=365,"MORNO","DORMENTE")),"")</f>
        <v/>
      </c>
    </row>
    <row r="225">
      <c r="D225" s="6" t="n"/>
      <c r="E225" s="6" t="n"/>
      <c r="G225" s="7" t="n"/>
      <c r="J225" s="7">
        <f>IFERROR(G225/F225,"")</f>
        <v/>
      </c>
      <c r="K225">
        <f>IFERROR(TODAY()-E225,"")</f>
        <v/>
      </c>
      <c r="L225">
        <f>IFERROR(IF(K225&lt;=90,"ATIVO",IF(K225&lt;=365,"MORNO","DORMENTE")),"")</f>
        <v/>
      </c>
    </row>
    <row r="226">
      <c r="D226" s="6" t="n"/>
      <c r="E226" s="6" t="n"/>
      <c r="G226" s="7" t="n"/>
      <c r="J226" s="7">
        <f>IFERROR(G226/F226,"")</f>
        <v/>
      </c>
      <c r="K226">
        <f>IFERROR(TODAY()-E226,"")</f>
        <v/>
      </c>
      <c r="L226">
        <f>IFERROR(IF(K226&lt;=90,"ATIVO",IF(K226&lt;=365,"MORNO","DORMENTE")),"")</f>
        <v/>
      </c>
    </row>
    <row r="227">
      <c r="D227" s="6" t="n"/>
      <c r="E227" s="6" t="n"/>
      <c r="G227" s="7" t="n"/>
      <c r="J227" s="7">
        <f>IFERROR(G227/F227,"")</f>
        <v/>
      </c>
      <c r="K227">
        <f>IFERROR(TODAY()-E227,"")</f>
        <v/>
      </c>
      <c r="L227">
        <f>IFERROR(IF(K227&lt;=90,"ATIVO",IF(K227&lt;=365,"MORNO","DORMENTE")),"")</f>
        <v/>
      </c>
    </row>
    <row r="228">
      <c r="D228" s="6" t="n"/>
      <c r="E228" s="6" t="n"/>
      <c r="G228" s="7" t="n"/>
      <c r="J228" s="7">
        <f>IFERROR(G228/F228,"")</f>
        <v/>
      </c>
      <c r="K228">
        <f>IFERROR(TODAY()-E228,"")</f>
        <v/>
      </c>
      <c r="L228">
        <f>IFERROR(IF(K228&lt;=90,"ATIVO",IF(K228&lt;=365,"MORNO","DORMENTE")),"")</f>
        <v/>
      </c>
    </row>
    <row r="229">
      <c r="D229" s="6" t="n"/>
      <c r="E229" s="6" t="n"/>
      <c r="G229" s="7" t="n"/>
      <c r="J229" s="7">
        <f>IFERROR(G229/F229,"")</f>
        <v/>
      </c>
      <c r="K229">
        <f>IFERROR(TODAY()-E229,"")</f>
        <v/>
      </c>
      <c r="L229">
        <f>IFERROR(IF(K229&lt;=90,"ATIVO",IF(K229&lt;=365,"MORNO","DORMENTE")),"")</f>
        <v/>
      </c>
    </row>
    <row r="230">
      <c r="D230" s="6" t="n"/>
      <c r="E230" s="6" t="n"/>
      <c r="G230" s="7" t="n"/>
      <c r="J230" s="7">
        <f>IFERROR(G230/F230,"")</f>
        <v/>
      </c>
      <c r="K230">
        <f>IFERROR(TODAY()-E230,"")</f>
        <v/>
      </c>
      <c r="L230">
        <f>IFERROR(IF(K230&lt;=90,"ATIVO",IF(K230&lt;=365,"MORNO","DORMENTE")),"")</f>
        <v/>
      </c>
    </row>
    <row r="231">
      <c r="D231" s="6" t="n"/>
      <c r="E231" s="6" t="n"/>
      <c r="G231" s="7" t="n"/>
      <c r="J231" s="7">
        <f>IFERROR(G231/F231,"")</f>
        <v/>
      </c>
      <c r="K231">
        <f>IFERROR(TODAY()-E231,"")</f>
        <v/>
      </c>
      <c r="L231">
        <f>IFERROR(IF(K231&lt;=90,"ATIVO",IF(K231&lt;=365,"MORNO","DORMENTE")),"")</f>
        <v/>
      </c>
    </row>
    <row r="232">
      <c r="D232" s="6" t="n"/>
      <c r="E232" s="6" t="n"/>
      <c r="G232" s="7" t="n"/>
      <c r="J232" s="7">
        <f>IFERROR(G232/F232,"")</f>
        <v/>
      </c>
      <c r="K232">
        <f>IFERROR(TODAY()-E232,"")</f>
        <v/>
      </c>
      <c r="L232">
        <f>IFERROR(IF(K232&lt;=90,"ATIVO",IF(K232&lt;=365,"MORNO","DORMENTE")),"")</f>
        <v/>
      </c>
    </row>
    <row r="233">
      <c r="D233" s="6" t="n"/>
      <c r="E233" s="6" t="n"/>
      <c r="G233" s="7" t="n"/>
      <c r="J233" s="7">
        <f>IFERROR(G233/F233,"")</f>
        <v/>
      </c>
      <c r="K233">
        <f>IFERROR(TODAY()-E233,"")</f>
        <v/>
      </c>
      <c r="L233">
        <f>IFERROR(IF(K233&lt;=90,"ATIVO",IF(K233&lt;=365,"MORNO","DORMENTE")),"")</f>
        <v/>
      </c>
    </row>
    <row r="234">
      <c r="D234" s="6" t="n"/>
      <c r="E234" s="6" t="n"/>
      <c r="G234" s="7" t="n"/>
      <c r="J234" s="7">
        <f>IFERROR(G234/F234,"")</f>
        <v/>
      </c>
      <c r="K234">
        <f>IFERROR(TODAY()-E234,"")</f>
        <v/>
      </c>
      <c r="L234">
        <f>IFERROR(IF(K234&lt;=90,"ATIVO",IF(K234&lt;=365,"MORNO","DORMENTE")),"")</f>
        <v/>
      </c>
    </row>
    <row r="235">
      <c r="D235" s="6" t="n"/>
      <c r="E235" s="6" t="n"/>
      <c r="G235" s="7" t="n"/>
      <c r="J235" s="7">
        <f>IFERROR(G235/F235,"")</f>
        <v/>
      </c>
      <c r="K235">
        <f>IFERROR(TODAY()-E235,"")</f>
        <v/>
      </c>
      <c r="L235">
        <f>IFERROR(IF(K235&lt;=90,"ATIVO",IF(K235&lt;=365,"MORNO","DORMENTE")),"")</f>
        <v/>
      </c>
    </row>
    <row r="236">
      <c r="D236" s="6" t="n"/>
      <c r="E236" s="6" t="n"/>
      <c r="G236" s="7" t="n"/>
      <c r="J236" s="7">
        <f>IFERROR(G236/F236,"")</f>
        <v/>
      </c>
      <c r="K236">
        <f>IFERROR(TODAY()-E236,"")</f>
        <v/>
      </c>
      <c r="L236">
        <f>IFERROR(IF(K236&lt;=90,"ATIVO",IF(K236&lt;=365,"MORNO","DORMENTE")),"")</f>
        <v/>
      </c>
    </row>
    <row r="237">
      <c r="D237" s="6" t="n"/>
      <c r="E237" s="6" t="n"/>
      <c r="G237" s="7" t="n"/>
      <c r="J237" s="7">
        <f>IFERROR(G237/F237,"")</f>
        <v/>
      </c>
      <c r="K237">
        <f>IFERROR(TODAY()-E237,"")</f>
        <v/>
      </c>
      <c r="L237">
        <f>IFERROR(IF(K237&lt;=90,"ATIVO",IF(K237&lt;=365,"MORNO","DORMENTE")),"")</f>
        <v/>
      </c>
    </row>
    <row r="238">
      <c r="D238" s="6" t="n"/>
      <c r="E238" s="6" t="n"/>
      <c r="G238" s="7" t="n"/>
      <c r="J238" s="7">
        <f>IFERROR(G238/F238,"")</f>
        <v/>
      </c>
      <c r="K238">
        <f>IFERROR(TODAY()-E238,"")</f>
        <v/>
      </c>
      <c r="L238">
        <f>IFERROR(IF(K238&lt;=90,"ATIVO",IF(K238&lt;=365,"MORNO","DORMENTE")),"")</f>
        <v/>
      </c>
    </row>
    <row r="239">
      <c r="D239" s="6" t="n"/>
      <c r="E239" s="6" t="n"/>
      <c r="G239" s="7" t="n"/>
      <c r="J239" s="7">
        <f>IFERROR(G239/F239,"")</f>
        <v/>
      </c>
      <c r="K239">
        <f>IFERROR(TODAY()-E239,"")</f>
        <v/>
      </c>
      <c r="L239">
        <f>IFERROR(IF(K239&lt;=90,"ATIVO",IF(K239&lt;=365,"MORNO","DORMENTE")),"")</f>
        <v/>
      </c>
    </row>
    <row r="240">
      <c r="D240" s="6" t="n"/>
      <c r="E240" s="6" t="n"/>
      <c r="G240" s="7" t="n"/>
      <c r="J240" s="7">
        <f>IFERROR(G240/F240,"")</f>
        <v/>
      </c>
      <c r="K240">
        <f>IFERROR(TODAY()-E240,"")</f>
        <v/>
      </c>
      <c r="L240">
        <f>IFERROR(IF(K240&lt;=90,"ATIVO",IF(K240&lt;=365,"MORNO","DORMENTE")),"")</f>
        <v/>
      </c>
    </row>
    <row r="241">
      <c r="D241" s="6" t="n"/>
      <c r="E241" s="6" t="n"/>
      <c r="G241" s="7" t="n"/>
      <c r="J241" s="7">
        <f>IFERROR(G241/F241,"")</f>
        <v/>
      </c>
      <c r="K241">
        <f>IFERROR(TODAY()-E241,"")</f>
        <v/>
      </c>
      <c r="L241">
        <f>IFERROR(IF(K241&lt;=90,"ATIVO",IF(K241&lt;=365,"MORNO","DORMENTE")),"")</f>
        <v/>
      </c>
    </row>
    <row r="242">
      <c r="D242" s="6" t="n"/>
      <c r="E242" s="6" t="n"/>
      <c r="G242" s="7" t="n"/>
      <c r="J242" s="7">
        <f>IFERROR(G242/F242,"")</f>
        <v/>
      </c>
      <c r="K242">
        <f>IFERROR(TODAY()-E242,"")</f>
        <v/>
      </c>
      <c r="L242">
        <f>IFERROR(IF(K242&lt;=90,"ATIVO",IF(K242&lt;=365,"MORNO","DORMENTE")),"")</f>
        <v/>
      </c>
    </row>
    <row r="243">
      <c r="D243" s="6" t="n"/>
      <c r="E243" s="6" t="n"/>
      <c r="G243" s="7" t="n"/>
      <c r="J243" s="7">
        <f>IFERROR(G243/F243,"")</f>
        <v/>
      </c>
      <c r="K243">
        <f>IFERROR(TODAY()-E243,"")</f>
        <v/>
      </c>
      <c r="L243">
        <f>IFERROR(IF(K243&lt;=90,"ATIVO",IF(K243&lt;=365,"MORNO","DORMENTE")),"")</f>
        <v/>
      </c>
    </row>
    <row r="244">
      <c r="D244" s="6" t="n"/>
      <c r="E244" s="6" t="n"/>
      <c r="G244" s="7" t="n"/>
      <c r="J244" s="7">
        <f>IFERROR(G244/F244,"")</f>
        <v/>
      </c>
      <c r="K244">
        <f>IFERROR(TODAY()-E244,"")</f>
        <v/>
      </c>
      <c r="L244">
        <f>IFERROR(IF(K244&lt;=90,"ATIVO",IF(K244&lt;=365,"MORNO","DORMENTE")),"")</f>
        <v/>
      </c>
    </row>
    <row r="245">
      <c r="D245" s="6" t="n"/>
      <c r="E245" s="6" t="n"/>
      <c r="G245" s="7" t="n"/>
      <c r="J245" s="7">
        <f>IFERROR(G245/F245,"")</f>
        <v/>
      </c>
      <c r="K245">
        <f>IFERROR(TODAY()-E245,"")</f>
        <v/>
      </c>
      <c r="L245">
        <f>IFERROR(IF(K245&lt;=90,"ATIVO",IF(K245&lt;=365,"MORNO","DORMENTE")),"")</f>
        <v/>
      </c>
    </row>
    <row r="246">
      <c r="D246" s="6" t="n"/>
      <c r="E246" s="6" t="n"/>
      <c r="G246" s="7" t="n"/>
      <c r="J246" s="7">
        <f>IFERROR(G246/F246,"")</f>
        <v/>
      </c>
      <c r="K246">
        <f>IFERROR(TODAY()-E246,"")</f>
        <v/>
      </c>
      <c r="L246">
        <f>IFERROR(IF(K246&lt;=90,"ATIVO",IF(K246&lt;=365,"MORNO","DORMENTE")),"")</f>
        <v/>
      </c>
    </row>
    <row r="247">
      <c r="D247" s="6" t="n"/>
      <c r="E247" s="6" t="n"/>
      <c r="G247" s="7" t="n"/>
      <c r="J247" s="7">
        <f>IFERROR(G247/F247,"")</f>
        <v/>
      </c>
      <c r="K247">
        <f>IFERROR(TODAY()-E247,"")</f>
        <v/>
      </c>
      <c r="L247">
        <f>IFERROR(IF(K247&lt;=90,"ATIVO",IF(K247&lt;=365,"MORNO","DORMENTE")),"")</f>
        <v/>
      </c>
    </row>
    <row r="248">
      <c r="D248" s="6" t="n"/>
      <c r="E248" s="6" t="n"/>
      <c r="G248" s="7" t="n"/>
      <c r="J248" s="7">
        <f>IFERROR(G248/F248,"")</f>
        <v/>
      </c>
      <c r="K248">
        <f>IFERROR(TODAY()-E248,"")</f>
        <v/>
      </c>
      <c r="L248">
        <f>IFERROR(IF(K248&lt;=90,"ATIVO",IF(K248&lt;=365,"MORNO","DORMENTE")),"")</f>
        <v/>
      </c>
    </row>
    <row r="249">
      <c r="D249" s="6" t="n"/>
      <c r="E249" s="6" t="n"/>
      <c r="G249" s="7" t="n"/>
      <c r="J249" s="7">
        <f>IFERROR(G249/F249,"")</f>
        <v/>
      </c>
      <c r="K249">
        <f>IFERROR(TODAY()-E249,"")</f>
        <v/>
      </c>
      <c r="L249">
        <f>IFERROR(IF(K249&lt;=90,"ATIVO",IF(K249&lt;=365,"MORNO","DORMENTE")),"")</f>
        <v/>
      </c>
    </row>
    <row r="250">
      <c r="D250" s="6" t="n"/>
      <c r="E250" s="6" t="n"/>
      <c r="G250" s="7" t="n"/>
      <c r="J250" s="7">
        <f>IFERROR(G250/F250,"")</f>
        <v/>
      </c>
      <c r="K250">
        <f>IFERROR(TODAY()-E250,"")</f>
        <v/>
      </c>
      <c r="L250">
        <f>IFERROR(IF(K250&lt;=90,"ATIVO",IF(K250&lt;=365,"MORNO","DORMENTE")),"")</f>
        <v/>
      </c>
    </row>
    <row r="251">
      <c r="D251" s="6" t="n"/>
      <c r="E251" s="6" t="n"/>
      <c r="G251" s="7" t="n"/>
      <c r="J251" s="7">
        <f>IFERROR(G251/F251,"")</f>
        <v/>
      </c>
      <c r="K251">
        <f>IFERROR(TODAY()-E251,"")</f>
        <v/>
      </c>
      <c r="L251">
        <f>IFERROR(IF(K251&lt;=90,"ATIVO",IF(K251&lt;=365,"MORNO","DORMENTE")),"")</f>
        <v/>
      </c>
    </row>
    <row r="252">
      <c r="D252" s="6" t="n"/>
      <c r="E252" s="6" t="n"/>
      <c r="G252" s="7" t="n"/>
      <c r="J252" s="7">
        <f>IFERROR(G252/F252,"")</f>
        <v/>
      </c>
      <c r="K252">
        <f>IFERROR(TODAY()-E252,"")</f>
        <v/>
      </c>
      <c r="L252">
        <f>IFERROR(IF(K252&lt;=90,"ATIVO",IF(K252&lt;=365,"MORNO","DORMENTE")),"")</f>
        <v/>
      </c>
    </row>
    <row r="253">
      <c r="D253" s="6" t="n"/>
      <c r="E253" s="6" t="n"/>
      <c r="G253" s="7" t="n"/>
      <c r="J253" s="7">
        <f>IFERROR(G253/F253,"")</f>
        <v/>
      </c>
      <c r="K253">
        <f>IFERROR(TODAY()-E253,"")</f>
        <v/>
      </c>
      <c r="L253">
        <f>IFERROR(IF(K253&lt;=90,"ATIVO",IF(K253&lt;=365,"MORNO","DORMENTE")),"")</f>
        <v/>
      </c>
    </row>
    <row r="254">
      <c r="D254" s="6" t="n"/>
      <c r="E254" s="6" t="n"/>
      <c r="G254" s="7" t="n"/>
      <c r="J254" s="7">
        <f>IFERROR(G254/F254,"")</f>
        <v/>
      </c>
      <c r="K254">
        <f>IFERROR(TODAY()-E254,"")</f>
        <v/>
      </c>
      <c r="L254">
        <f>IFERROR(IF(K254&lt;=90,"ATIVO",IF(K254&lt;=365,"MORNO","DORMENTE")),"")</f>
        <v/>
      </c>
    </row>
    <row r="255">
      <c r="D255" s="6" t="n"/>
      <c r="E255" s="6" t="n"/>
      <c r="G255" s="7" t="n"/>
      <c r="J255" s="7">
        <f>IFERROR(G255/F255,"")</f>
        <v/>
      </c>
      <c r="K255">
        <f>IFERROR(TODAY()-E255,"")</f>
        <v/>
      </c>
      <c r="L255">
        <f>IFERROR(IF(K255&lt;=90,"ATIVO",IF(K255&lt;=365,"MORNO","DORMENTE")),"")</f>
        <v/>
      </c>
    </row>
    <row r="256">
      <c r="D256" s="6" t="n"/>
      <c r="E256" s="6" t="n"/>
      <c r="G256" s="7" t="n"/>
      <c r="J256" s="7">
        <f>IFERROR(G256/F256,"")</f>
        <v/>
      </c>
      <c r="K256">
        <f>IFERROR(TODAY()-E256,"")</f>
        <v/>
      </c>
      <c r="L256">
        <f>IFERROR(IF(K256&lt;=90,"ATIVO",IF(K256&lt;=365,"MORNO","DORMENTE")),"")</f>
        <v/>
      </c>
    </row>
    <row r="257">
      <c r="D257" s="6" t="n"/>
      <c r="E257" s="6" t="n"/>
      <c r="G257" s="7" t="n"/>
      <c r="J257" s="7">
        <f>IFERROR(G257/F257,"")</f>
        <v/>
      </c>
      <c r="K257">
        <f>IFERROR(TODAY()-E257,"")</f>
        <v/>
      </c>
      <c r="L257">
        <f>IFERROR(IF(K257&lt;=90,"ATIVO",IF(K257&lt;=365,"MORNO","DORMENTE")),"")</f>
        <v/>
      </c>
    </row>
    <row r="258">
      <c r="D258" s="6" t="n"/>
      <c r="E258" s="6" t="n"/>
      <c r="G258" s="7" t="n"/>
      <c r="J258" s="7">
        <f>IFERROR(G258/F258,"")</f>
        <v/>
      </c>
      <c r="K258">
        <f>IFERROR(TODAY()-E258,"")</f>
        <v/>
      </c>
      <c r="L258">
        <f>IFERROR(IF(K258&lt;=90,"ATIVO",IF(K258&lt;=365,"MORNO","DORMENTE")),"")</f>
        <v/>
      </c>
    </row>
    <row r="259">
      <c r="D259" s="6" t="n"/>
      <c r="E259" s="6" t="n"/>
      <c r="G259" s="7" t="n"/>
      <c r="J259" s="7">
        <f>IFERROR(G259/F259,"")</f>
        <v/>
      </c>
      <c r="K259">
        <f>IFERROR(TODAY()-E259,"")</f>
        <v/>
      </c>
      <c r="L259">
        <f>IFERROR(IF(K259&lt;=90,"ATIVO",IF(K259&lt;=365,"MORNO","DORMENTE")),"")</f>
        <v/>
      </c>
    </row>
    <row r="260">
      <c r="D260" s="6" t="n"/>
      <c r="E260" s="6" t="n"/>
      <c r="G260" s="7" t="n"/>
      <c r="J260" s="7">
        <f>IFERROR(G260/F260,"")</f>
        <v/>
      </c>
      <c r="K260">
        <f>IFERROR(TODAY()-E260,"")</f>
        <v/>
      </c>
      <c r="L260">
        <f>IFERROR(IF(K260&lt;=90,"ATIVO",IF(K260&lt;=365,"MORNO","DORMENTE")),"")</f>
        <v/>
      </c>
    </row>
    <row r="261">
      <c r="D261" s="6" t="n"/>
      <c r="E261" s="6" t="n"/>
      <c r="G261" s="7" t="n"/>
      <c r="J261" s="7">
        <f>IFERROR(G261/F261,"")</f>
        <v/>
      </c>
      <c r="K261">
        <f>IFERROR(TODAY()-E261,"")</f>
        <v/>
      </c>
      <c r="L261">
        <f>IFERROR(IF(K261&lt;=90,"ATIVO",IF(K261&lt;=365,"MORNO","DORMENTE")),"")</f>
        <v/>
      </c>
    </row>
    <row r="262">
      <c r="D262" s="6" t="n"/>
      <c r="E262" s="6" t="n"/>
      <c r="G262" s="7" t="n"/>
      <c r="J262" s="7">
        <f>IFERROR(G262/F262,"")</f>
        <v/>
      </c>
      <c r="K262">
        <f>IFERROR(TODAY()-E262,"")</f>
        <v/>
      </c>
      <c r="L262">
        <f>IFERROR(IF(K262&lt;=90,"ATIVO",IF(K262&lt;=365,"MORNO","DORMENTE")),"")</f>
        <v/>
      </c>
    </row>
    <row r="263">
      <c r="D263" s="6" t="n"/>
      <c r="E263" s="6" t="n"/>
      <c r="G263" s="7" t="n"/>
      <c r="J263" s="7">
        <f>IFERROR(G263/F263,"")</f>
        <v/>
      </c>
      <c r="K263">
        <f>IFERROR(TODAY()-E263,"")</f>
        <v/>
      </c>
      <c r="L263">
        <f>IFERROR(IF(K263&lt;=90,"ATIVO",IF(K263&lt;=365,"MORNO","DORMENTE")),"")</f>
        <v/>
      </c>
    </row>
    <row r="264">
      <c r="D264" s="6" t="n"/>
      <c r="E264" s="6" t="n"/>
      <c r="G264" s="7" t="n"/>
      <c r="J264" s="7">
        <f>IFERROR(G264/F264,"")</f>
        <v/>
      </c>
      <c r="K264">
        <f>IFERROR(TODAY()-E264,"")</f>
        <v/>
      </c>
      <c r="L264">
        <f>IFERROR(IF(K264&lt;=90,"ATIVO",IF(K264&lt;=365,"MORNO","DORMENTE")),"")</f>
        <v/>
      </c>
    </row>
    <row r="265">
      <c r="D265" s="6" t="n"/>
      <c r="E265" s="6" t="n"/>
      <c r="G265" s="7" t="n"/>
      <c r="J265" s="7">
        <f>IFERROR(G265/F265,"")</f>
        <v/>
      </c>
      <c r="K265">
        <f>IFERROR(TODAY()-E265,"")</f>
        <v/>
      </c>
      <c r="L265">
        <f>IFERROR(IF(K265&lt;=90,"ATIVO",IF(K265&lt;=365,"MORNO","DORMENTE")),"")</f>
        <v/>
      </c>
    </row>
    <row r="266">
      <c r="D266" s="6" t="n"/>
      <c r="E266" s="6" t="n"/>
      <c r="G266" s="7" t="n"/>
      <c r="J266" s="7">
        <f>IFERROR(G266/F266,"")</f>
        <v/>
      </c>
      <c r="K266">
        <f>IFERROR(TODAY()-E266,"")</f>
        <v/>
      </c>
      <c r="L266">
        <f>IFERROR(IF(K266&lt;=90,"ATIVO",IF(K266&lt;=365,"MORNO","DORMENTE")),"")</f>
        <v/>
      </c>
    </row>
    <row r="267">
      <c r="D267" s="6" t="n"/>
      <c r="E267" s="6" t="n"/>
      <c r="G267" s="7" t="n"/>
      <c r="J267" s="7">
        <f>IFERROR(G267/F267,"")</f>
        <v/>
      </c>
      <c r="K267">
        <f>IFERROR(TODAY()-E267,"")</f>
        <v/>
      </c>
      <c r="L267">
        <f>IFERROR(IF(K267&lt;=90,"ATIVO",IF(K267&lt;=365,"MORNO","DORMENTE")),"")</f>
        <v/>
      </c>
    </row>
    <row r="268">
      <c r="D268" s="6" t="n"/>
      <c r="E268" s="6" t="n"/>
      <c r="G268" s="7" t="n"/>
      <c r="J268" s="7">
        <f>IFERROR(G268/F268,"")</f>
        <v/>
      </c>
      <c r="K268">
        <f>IFERROR(TODAY()-E268,"")</f>
        <v/>
      </c>
      <c r="L268">
        <f>IFERROR(IF(K268&lt;=90,"ATIVO",IF(K268&lt;=365,"MORNO","DORMENTE")),"")</f>
        <v/>
      </c>
    </row>
    <row r="269">
      <c r="D269" s="6" t="n"/>
      <c r="E269" s="6" t="n"/>
      <c r="G269" s="7" t="n"/>
      <c r="J269" s="7">
        <f>IFERROR(G269/F269,"")</f>
        <v/>
      </c>
      <c r="K269">
        <f>IFERROR(TODAY()-E269,"")</f>
        <v/>
      </c>
      <c r="L269">
        <f>IFERROR(IF(K269&lt;=90,"ATIVO",IF(K269&lt;=365,"MORNO","DORMENTE")),"")</f>
        <v/>
      </c>
    </row>
    <row r="270">
      <c r="D270" s="6" t="n"/>
      <c r="E270" s="6" t="n"/>
      <c r="G270" s="7" t="n"/>
      <c r="J270" s="7">
        <f>IFERROR(G270/F270,"")</f>
        <v/>
      </c>
      <c r="K270">
        <f>IFERROR(TODAY()-E270,"")</f>
        <v/>
      </c>
      <c r="L270">
        <f>IFERROR(IF(K270&lt;=90,"ATIVO",IF(K270&lt;=365,"MORNO","DORMENTE")),"")</f>
        <v/>
      </c>
    </row>
    <row r="271">
      <c r="D271" s="6" t="n"/>
      <c r="E271" s="6" t="n"/>
      <c r="G271" s="7" t="n"/>
      <c r="J271" s="7">
        <f>IFERROR(G271/F271,"")</f>
        <v/>
      </c>
      <c r="K271">
        <f>IFERROR(TODAY()-E271,"")</f>
        <v/>
      </c>
      <c r="L271">
        <f>IFERROR(IF(K271&lt;=90,"ATIVO",IF(K271&lt;=365,"MORNO","DORMENTE")),"")</f>
        <v/>
      </c>
    </row>
    <row r="272">
      <c r="D272" s="6" t="n"/>
      <c r="E272" s="6" t="n"/>
      <c r="G272" s="7" t="n"/>
      <c r="J272" s="7">
        <f>IFERROR(G272/F272,"")</f>
        <v/>
      </c>
      <c r="K272">
        <f>IFERROR(TODAY()-E272,"")</f>
        <v/>
      </c>
      <c r="L272">
        <f>IFERROR(IF(K272&lt;=90,"ATIVO",IF(K272&lt;=365,"MORNO","DORMENTE")),"")</f>
        <v/>
      </c>
    </row>
    <row r="273">
      <c r="D273" s="6" t="n"/>
      <c r="E273" s="6" t="n"/>
      <c r="G273" s="7" t="n"/>
      <c r="J273" s="7">
        <f>IFERROR(G273/F273,"")</f>
        <v/>
      </c>
      <c r="K273">
        <f>IFERROR(TODAY()-E273,"")</f>
        <v/>
      </c>
      <c r="L273">
        <f>IFERROR(IF(K273&lt;=90,"ATIVO",IF(K273&lt;=365,"MORNO","DORMENTE")),"")</f>
        <v/>
      </c>
    </row>
    <row r="274">
      <c r="D274" s="6" t="n"/>
      <c r="E274" s="6" t="n"/>
      <c r="G274" s="7" t="n"/>
      <c r="J274" s="7">
        <f>IFERROR(G274/F274,"")</f>
        <v/>
      </c>
      <c r="K274">
        <f>IFERROR(TODAY()-E274,"")</f>
        <v/>
      </c>
      <c r="L274">
        <f>IFERROR(IF(K274&lt;=90,"ATIVO",IF(K274&lt;=365,"MORNO","DORMENTE")),"")</f>
        <v/>
      </c>
    </row>
    <row r="275">
      <c r="D275" s="6" t="n"/>
      <c r="E275" s="6" t="n"/>
      <c r="G275" s="7" t="n"/>
      <c r="J275" s="7">
        <f>IFERROR(G275/F275,"")</f>
        <v/>
      </c>
      <c r="K275">
        <f>IFERROR(TODAY()-E275,"")</f>
        <v/>
      </c>
      <c r="L275">
        <f>IFERROR(IF(K275&lt;=90,"ATIVO",IF(K275&lt;=365,"MORNO","DORMENTE")),"")</f>
        <v/>
      </c>
    </row>
    <row r="276">
      <c r="D276" s="6" t="n"/>
      <c r="E276" s="6" t="n"/>
      <c r="G276" s="7" t="n"/>
      <c r="J276" s="7">
        <f>IFERROR(G276/F276,"")</f>
        <v/>
      </c>
      <c r="K276">
        <f>IFERROR(TODAY()-E276,"")</f>
        <v/>
      </c>
      <c r="L276">
        <f>IFERROR(IF(K276&lt;=90,"ATIVO",IF(K276&lt;=365,"MORNO","DORMENTE")),"")</f>
        <v/>
      </c>
    </row>
    <row r="277">
      <c r="D277" s="6" t="n"/>
      <c r="E277" s="6" t="n"/>
      <c r="G277" s="7" t="n"/>
      <c r="J277" s="7">
        <f>IFERROR(G277/F277,"")</f>
        <v/>
      </c>
      <c r="K277">
        <f>IFERROR(TODAY()-E277,"")</f>
        <v/>
      </c>
      <c r="L277">
        <f>IFERROR(IF(K277&lt;=90,"ATIVO",IF(K277&lt;=365,"MORNO","DORMENTE")),"")</f>
        <v/>
      </c>
    </row>
    <row r="278">
      <c r="D278" s="6" t="n"/>
      <c r="E278" s="6" t="n"/>
      <c r="G278" s="7" t="n"/>
      <c r="J278" s="7">
        <f>IFERROR(G278/F278,"")</f>
        <v/>
      </c>
      <c r="K278">
        <f>IFERROR(TODAY()-E278,"")</f>
        <v/>
      </c>
      <c r="L278">
        <f>IFERROR(IF(K278&lt;=90,"ATIVO",IF(K278&lt;=365,"MORNO","DORMENTE")),"")</f>
        <v/>
      </c>
    </row>
    <row r="279">
      <c r="D279" s="6" t="n"/>
      <c r="E279" s="6" t="n"/>
      <c r="G279" s="7" t="n"/>
      <c r="J279" s="7">
        <f>IFERROR(G279/F279,"")</f>
        <v/>
      </c>
      <c r="K279">
        <f>IFERROR(TODAY()-E279,"")</f>
        <v/>
      </c>
      <c r="L279">
        <f>IFERROR(IF(K279&lt;=90,"ATIVO",IF(K279&lt;=365,"MORNO","DORMENTE")),"")</f>
        <v/>
      </c>
    </row>
    <row r="280">
      <c r="D280" s="6" t="n"/>
      <c r="E280" s="6" t="n"/>
      <c r="G280" s="7" t="n"/>
      <c r="J280" s="7">
        <f>IFERROR(G280/F280,"")</f>
        <v/>
      </c>
      <c r="K280">
        <f>IFERROR(TODAY()-E280,"")</f>
        <v/>
      </c>
      <c r="L280">
        <f>IFERROR(IF(K280&lt;=90,"ATIVO",IF(K280&lt;=365,"MORNO","DORMENTE")),"")</f>
        <v/>
      </c>
    </row>
    <row r="281">
      <c r="D281" s="6" t="n"/>
      <c r="E281" s="6" t="n"/>
      <c r="G281" s="7" t="n"/>
      <c r="J281" s="7">
        <f>IFERROR(G281/F281,"")</f>
        <v/>
      </c>
      <c r="K281">
        <f>IFERROR(TODAY()-E281,"")</f>
        <v/>
      </c>
      <c r="L281">
        <f>IFERROR(IF(K281&lt;=90,"ATIVO",IF(K281&lt;=365,"MORNO","DORMENTE")),"")</f>
        <v/>
      </c>
    </row>
    <row r="282">
      <c r="D282" s="6" t="n"/>
      <c r="E282" s="6" t="n"/>
      <c r="G282" s="7" t="n"/>
      <c r="J282" s="7">
        <f>IFERROR(G282/F282,"")</f>
        <v/>
      </c>
      <c r="K282">
        <f>IFERROR(TODAY()-E282,"")</f>
        <v/>
      </c>
      <c r="L282">
        <f>IFERROR(IF(K282&lt;=90,"ATIVO",IF(K282&lt;=365,"MORNO","DORMENTE")),"")</f>
        <v/>
      </c>
    </row>
    <row r="283">
      <c r="D283" s="6" t="n"/>
      <c r="E283" s="6" t="n"/>
      <c r="G283" s="7" t="n"/>
      <c r="J283" s="7">
        <f>IFERROR(G283/F283,"")</f>
        <v/>
      </c>
      <c r="K283">
        <f>IFERROR(TODAY()-E283,"")</f>
        <v/>
      </c>
      <c r="L283">
        <f>IFERROR(IF(K283&lt;=90,"ATIVO",IF(K283&lt;=365,"MORNO","DORMENTE")),"")</f>
        <v/>
      </c>
    </row>
    <row r="284">
      <c r="D284" s="6" t="n"/>
      <c r="E284" s="6" t="n"/>
      <c r="G284" s="7" t="n"/>
      <c r="J284" s="7">
        <f>IFERROR(G284/F284,"")</f>
        <v/>
      </c>
      <c r="K284">
        <f>IFERROR(TODAY()-E284,"")</f>
        <v/>
      </c>
      <c r="L284">
        <f>IFERROR(IF(K284&lt;=90,"ATIVO",IF(K284&lt;=365,"MORNO","DORMENTE")),"")</f>
        <v/>
      </c>
    </row>
    <row r="285">
      <c r="D285" s="6" t="n"/>
      <c r="E285" s="6" t="n"/>
      <c r="G285" s="7" t="n"/>
      <c r="J285" s="7">
        <f>IFERROR(G285/F285,"")</f>
        <v/>
      </c>
      <c r="K285">
        <f>IFERROR(TODAY()-E285,"")</f>
        <v/>
      </c>
      <c r="L285">
        <f>IFERROR(IF(K285&lt;=90,"ATIVO",IF(K285&lt;=365,"MORNO","DORMENTE")),"")</f>
        <v/>
      </c>
    </row>
    <row r="286">
      <c r="D286" s="6" t="n"/>
      <c r="E286" s="6" t="n"/>
      <c r="G286" s="7" t="n"/>
      <c r="J286" s="7">
        <f>IFERROR(G286/F286,"")</f>
        <v/>
      </c>
      <c r="K286">
        <f>IFERROR(TODAY()-E286,"")</f>
        <v/>
      </c>
      <c r="L286">
        <f>IFERROR(IF(K286&lt;=90,"ATIVO",IF(K286&lt;=365,"MORNO","DORMENTE")),"")</f>
        <v/>
      </c>
    </row>
    <row r="287">
      <c r="D287" s="6" t="n"/>
      <c r="E287" s="6" t="n"/>
      <c r="G287" s="7" t="n"/>
      <c r="J287" s="7">
        <f>IFERROR(G287/F287,"")</f>
        <v/>
      </c>
      <c r="K287">
        <f>IFERROR(TODAY()-E287,"")</f>
        <v/>
      </c>
      <c r="L287">
        <f>IFERROR(IF(K287&lt;=90,"ATIVO",IF(K287&lt;=365,"MORNO","DORMENTE")),"")</f>
        <v/>
      </c>
    </row>
    <row r="288">
      <c r="D288" s="6" t="n"/>
      <c r="E288" s="6" t="n"/>
      <c r="G288" s="7" t="n"/>
      <c r="J288" s="7">
        <f>IFERROR(G288/F288,"")</f>
        <v/>
      </c>
      <c r="K288">
        <f>IFERROR(TODAY()-E288,"")</f>
        <v/>
      </c>
      <c r="L288">
        <f>IFERROR(IF(K288&lt;=90,"ATIVO",IF(K288&lt;=365,"MORNO","DORMENTE")),"")</f>
        <v/>
      </c>
    </row>
    <row r="289">
      <c r="D289" s="6" t="n"/>
      <c r="E289" s="6" t="n"/>
      <c r="G289" s="7" t="n"/>
      <c r="J289" s="7">
        <f>IFERROR(G289/F289,"")</f>
        <v/>
      </c>
      <c r="K289">
        <f>IFERROR(TODAY()-E289,"")</f>
        <v/>
      </c>
      <c r="L289">
        <f>IFERROR(IF(K289&lt;=90,"ATIVO",IF(K289&lt;=365,"MORNO","DORMENTE")),"")</f>
        <v/>
      </c>
    </row>
    <row r="290">
      <c r="D290" s="6" t="n"/>
      <c r="E290" s="6" t="n"/>
      <c r="G290" s="7" t="n"/>
      <c r="J290" s="7">
        <f>IFERROR(G290/F290,"")</f>
        <v/>
      </c>
      <c r="K290">
        <f>IFERROR(TODAY()-E290,"")</f>
        <v/>
      </c>
      <c r="L290">
        <f>IFERROR(IF(K290&lt;=90,"ATIVO",IF(K290&lt;=365,"MORNO","DORMENTE")),"")</f>
        <v/>
      </c>
    </row>
    <row r="291">
      <c r="D291" s="6" t="n"/>
      <c r="E291" s="6" t="n"/>
      <c r="G291" s="7" t="n"/>
      <c r="J291" s="7">
        <f>IFERROR(G291/F291,"")</f>
        <v/>
      </c>
      <c r="K291">
        <f>IFERROR(TODAY()-E291,"")</f>
        <v/>
      </c>
      <c r="L291">
        <f>IFERROR(IF(K291&lt;=90,"ATIVO",IF(K291&lt;=365,"MORNO","DORMENTE")),"")</f>
        <v/>
      </c>
    </row>
    <row r="292">
      <c r="D292" s="6" t="n"/>
      <c r="E292" s="6" t="n"/>
      <c r="G292" s="7" t="n"/>
      <c r="J292" s="7">
        <f>IFERROR(G292/F292,"")</f>
        <v/>
      </c>
      <c r="K292">
        <f>IFERROR(TODAY()-E292,"")</f>
        <v/>
      </c>
      <c r="L292">
        <f>IFERROR(IF(K292&lt;=90,"ATIVO",IF(K292&lt;=365,"MORNO","DORMENTE")),"")</f>
        <v/>
      </c>
    </row>
    <row r="293">
      <c r="D293" s="6" t="n"/>
      <c r="E293" s="6" t="n"/>
      <c r="G293" s="7" t="n"/>
      <c r="J293" s="7">
        <f>IFERROR(G293/F293,"")</f>
        <v/>
      </c>
      <c r="K293">
        <f>IFERROR(TODAY()-E293,"")</f>
        <v/>
      </c>
      <c r="L293">
        <f>IFERROR(IF(K293&lt;=90,"ATIVO",IF(K293&lt;=365,"MORNO","DORMENTE")),"")</f>
        <v/>
      </c>
    </row>
    <row r="294">
      <c r="D294" s="6" t="n"/>
      <c r="E294" s="6" t="n"/>
      <c r="G294" s="7" t="n"/>
      <c r="J294" s="7">
        <f>IFERROR(G294/F294,"")</f>
        <v/>
      </c>
      <c r="K294">
        <f>IFERROR(TODAY()-E294,"")</f>
        <v/>
      </c>
      <c r="L294">
        <f>IFERROR(IF(K294&lt;=90,"ATIVO",IF(K294&lt;=365,"MORNO","DORMENTE")),"")</f>
        <v/>
      </c>
    </row>
    <row r="295">
      <c r="D295" s="6" t="n"/>
      <c r="E295" s="6" t="n"/>
      <c r="G295" s="7" t="n"/>
      <c r="J295" s="7">
        <f>IFERROR(G295/F295,"")</f>
        <v/>
      </c>
      <c r="K295">
        <f>IFERROR(TODAY()-E295,"")</f>
        <v/>
      </c>
      <c r="L295">
        <f>IFERROR(IF(K295&lt;=90,"ATIVO",IF(K295&lt;=365,"MORNO","DORMENTE")),"")</f>
        <v/>
      </c>
    </row>
    <row r="296">
      <c r="D296" s="6" t="n"/>
      <c r="E296" s="6" t="n"/>
      <c r="G296" s="7" t="n"/>
      <c r="J296" s="7">
        <f>IFERROR(G296/F296,"")</f>
        <v/>
      </c>
      <c r="K296">
        <f>IFERROR(TODAY()-E296,"")</f>
        <v/>
      </c>
      <c r="L296">
        <f>IFERROR(IF(K296&lt;=90,"ATIVO",IF(K296&lt;=365,"MORNO","DORMENTE")),"")</f>
        <v/>
      </c>
    </row>
    <row r="297">
      <c r="D297" s="6" t="n"/>
      <c r="E297" s="6" t="n"/>
      <c r="G297" s="7" t="n"/>
      <c r="J297" s="7">
        <f>IFERROR(G297/F297,"")</f>
        <v/>
      </c>
      <c r="K297">
        <f>IFERROR(TODAY()-E297,"")</f>
        <v/>
      </c>
      <c r="L297">
        <f>IFERROR(IF(K297&lt;=90,"ATIVO",IF(K297&lt;=365,"MORNO","DORMENTE")),"")</f>
        <v/>
      </c>
    </row>
    <row r="298">
      <c r="D298" s="6" t="n"/>
      <c r="E298" s="6" t="n"/>
      <c r="G298" s="7" t="n"/>
      <c r="J298" s="7">
        <f>IFERROR(G298/F298,"")</f>
        <v/>
      </c>
      <c r="K298">
        <f>IFERROR(TODAY()-E298,"")</f>
        <v/>
      </c>
      <c r="L298">
        <f>IFERROR(IF(K298&lt;=90,"ATIVO",IF(K298&lt;=365,"MORNO","DORMENTE")),"")</f>
        <v/>
      </c>
    </row>
    <row r="299">
      <c r="D299" s="6" t="n"/>
      <c r="E299" s="6" t="n"/>
      <c r="G299" s="7" t="n"/>
      <c r="J299" s="7">
        <f>IFERROR(G299/F299,"")</f>
        <v/>
      </c>
      <c r="K299">
        <f>IFERROR(TODAY()-E299,"")</f>
        <v/>
      </c>
      <c r="L299">
        <f>IFERROR(IF(K299&lt;=90,"ATIVO",IF(K299&lt;=365,"MORNO","DORMENTE")),"")</f>
        <v/>
      </c>
    </row>
    <row r="300">
      <c r="D300" s="6" t="n"/>
      <c r="E300" s="6" t="n"/>
      <c r="G300" s="7" t="n"/>
      <c r="J300" s="7">
        <f>IFERROR(G300/F300,"")</f>
        <v/>
      </c>
      <c r="K300">
        <f>IFERROR(TODAY()-E300,"")</f>
        <v/>
      </c>
      <c r="L300">
        <f>IFERROR(IF(K300&lt;=90,"ATIVO",IF(K300&lt;=365,"MORNO","DORMENTE")),"")</f>
        <v/>
      </c>
    </row>
    <row r="301">
      <c r="D301" s="6" t="n"/>
      <c r="E301" s="6" t="n"/>
      <c r="G301" s="7" t="n"/>
      <c r="J301" s="7">
        <f>IFERROR(G301/F301,"")</f>
        <v/>
      </c>
      <c r="K301">
        <f>IFERROR(TODAY()-E301,"")</f>
        <v/>
      </c>
      <c r="L301">
        <f>IFERROR(IF(K301&lt;=90,"ATIVO",IF(K301&lt;=365,"MORNO","DORMENTE")),"")</f>
        <v/>
      </c>
    </row>
    <row r="302">
      <c r="D302" s="6" t="n"/>
      <c r="E302" s="6" t="n"/>
      <c r="G302" s="7" t="n"/>
      <c r="J302" s="7">
        <f>IFERROR(G302/F302,"")</f>
        <v/>
      </c>
      <c r="K302">
        <f>IFERROR(TODAY()-E302,"")</f>
        <v/>
      </c>
      <c r="L302">
        <f>IFERROR(IF(K302&lt;=90,"ATIVO",IF(K302&lt;=365,"MORNO","DORMENTE")),"")</f>
        <v/>
      </c>
    </row>
    <row r="303">
      <c r="D303" s="6" t="n"/>
      <c r="E303" s="6" t="n"/>
      <c r="G303" s="7" t="n"/>
      <c r="J303" s="7">
        <f>IFERROR(G303/F303,"")</f>
        <v/>
      </c>
      <c r="K303">
        <f>IFERROR(TODAY()-E303,"")</f>
        <v/>
      </c>
      <c r="L303">
        <f>IFERROR(IF(K303&lt;=90,"ATIVO",IF(K303&lt;=365,"MORNO","DORMENTE")),"")</f>
        <v/>
      </c>
    </row>
    <row r="304">
      <c r="D304" s="6" t="n"/>
      <c r="E304" s="6" t="n"/>
      <c r="G304" s="7" t="n"/>
      <c r="J304" s="7">
        <f>IFERROR(G304/F304,"")</f>
        <v/>
      </c>
      <c r="K304">
        <f>IFERROR(TODAY()-E304,"")</f>
        <v/>
      </c>
      <c r="L304">
        <f>IFERROR(IF(K304&lt;=90,"ATIVO",IF(K304&lt;=365,"MORNO","DORMENTE")),"")</f>
        <v/>
      </c>
    </row>
    <row r="305">
      <c r="D305" s="6" t="n"/>
      <c r="E305" s="6" t="n"/>
      <c r="G305" s="7" t="n"/>
      <c r="J305" s="7">
        <f>IFERROR(G305/F305,"")</f>
        <v/>
      </c>
      <c r="K305">
        <f>IFERROR(TODAY()-E305,"")</f>
        <v/>
      </c>
      <c r="L305">
        <f>IFERROR(IF(K305&lt;=90,"ATIVO",IF(K305&lt;=365,"MORNO","DORMENTE")),"")</f>
        <v/>
      </c>
    </row>
    <row r="306">
      <c r="D306" s="6" t="n"/>
      <c r="E306" s="6" t="n"/>
      <c r="G306" s="7" t="n"/>
      <c r="J306" s="7">
        <f>IFERROR(G306/F306,"")</f>
        <v/>
      </c>
      <c r="K306">
        <f>IFERROR(TODAY()-E306,"")</f>
        <v/>
      </c>
      <c r="L306">
        <f>IFERROR(IF(K306&lt;=90,"ATIVO",IF(K306&lt;=365,"MORNO","DORMENTE")),"")</f>
        <v/>
      </c>
    </row>
    <row r="307">
      <c r="D307" s="6" t="n"/>
      <c r="E307" s="6" t="n"/>
      <c r="G307" s="7" t="n"/>
      <c r="J307" s="7">
        <f>IFERROR(G307/F307,"")</f>
        <v/>
      </c>
      <c r="K307">
        <f>IFERROR(TODAY()-E307,"")</f>
        <v/>
      </c>
      <c r="L307">
        <f>IFERROR(IF(K307&lt;=90,"ATIVO",IF(K307&lt;=365,"MORNO","DORMENTE")),"")</f>
        <v/>
      </c>
    </row>
    <row r="308">
      <c r="D308" s="6" t="n"/>
      <c r="E308" s="6" t="n"/>
      <c r="G308" s="7" t="n"/>
      <c r="J308" s="7">
        <f>IFERROR(G308/F308,"")</f>
        <v/>
      </c>
      <c r="K308">
        <f>IFERROR(TODAY()-E308,"")</f>
        <v/>
      </c>
      <c r="L308">
        <f>IFERROR(IF(K308&lt;=90,"ATIVO",IF(K308&lt;=365,"MORNO","DORMENTE")),"")</f>
        <v/>
      </c>
    </row>
    <row r="309">
      <c r="D309" s="6" t="n"/>
      <c r="E309" s="6" t="n"/>
      <c r="G309" s="7" t="n"/>
      <c r="J309" s="7">
        <f>IFERROR(G309/F309,"")</f>
        <v/>
      </c>
      <c r="K309">
        <f>IFERROR(TODAY()-E309,"")</f>
        <v/>
      </c>
      <c r="L309">
        <f>IFERROR(IF(K309&lt;=90,"ATIVO",IF(K309&lt;=365,"MORNO","DORMENTE")),"")</f>
        <v/>
      </c>
    </row>
    <row r="310">
      <c r="D310" s="6" t="n"/>
      <c r="E310" s="6" t="n"/>
      <c r="G310" s="7" t="n"/>
      <c r="J310" s="7">
        <f>IFERROR(G310/F310,"")</f>
        <v/>
      </c>
      <c r="K310">
        <f>IFERROR(TODAY()-E310,"")</f>
        <v/>
      </c>
      <c r="L310">
        <f>IFERROR(IF(K310&lt;=90,"ATIVO",IF(K310&lt;=365,"MORNO","DORMENTE")),"")</f>
        <v/>
      </c>
    </row>
    <row r="311">
      <c r="D311" s="6" t="n"/>
      <c r="E311" s="6" t="n"/>
      <c r="G311" s="7" t="n"/>
      <c r="J311" s="7">
        <f>IFERROR(G311/F311,"")</f>
        <v/>
      </c>
      <c r="K311">
        <f>IFERROR(TODAY()-E311,"")</f>
        <v/>
      </c>
      <c r="L311">
        <f>IFERROR(IF(K311&lt;=90,"ATIVO",IF(K311&lt;=365,"MORNO","DORMENTE")),"")</f>
        <v/>
      </c>
    </row>
    <row r="312">
      <c r="D312" s="6" t="n"/>
      <c r="E312" s="6" t="n"/>
      <c r="G312" s="7" t="n"/>
      <c r="J312" s="7">
        <f>IFERROR(G312/F312,"")</f>
        <v/>
      </c>
      <c r="K312">
        <f>IFERROR(TODAY()-E312,"")</f>
        <v/>
      </c>
      <c r="L312">
        <f>IFERROR(IF(K312&lt;=90,"ATIVO",IF(K312&lt;=365,"MORNO","DORMENTE")),"")</f>
        <v/>
      </c>
    </row>
    <row r="313">
      <c r="D313" s="6" t="n"/>
      <c r="E313" s="6" t="n"/>
      <c r="G313" s="7" t="n"/>
      <c r="J313" s="7">
        <f>IFERROR(G313/F313,"")</f>
        <v/>
      </c>
      <c r="K313">
        <f>IFERROR(TODAY()-E313,"")</f>
        <v/>
      </c>
      <c r="L313">
        <f>IFERROR(IF(K313&lt;=90,"ATIVO",IF(K313&lt;=365,"MORNO","DORMENTE")),"")</f>
        <v/>
      </c>
    </row>
    <row r="314">
      <c r="D314" s="6" t="n"/>
      <c r="E314" s="6" t="n"/>
      <c r="G314" s="7" t="n"/>
      <c r="J314" s="7">
        <f>IFERROR(G314/F314,"")</f>
        <v/>
      </c>
      <c r="K314">
        <f>IFERROR(TODAY()-E314,"")</f>
        <v/>
      </c>
      <c r="L314">
        <f>IFERROR(IF(K314&lt;=90,"ATIVO",IF(K314&lt;=365,"MORNO","DORMENTE")),"")</f>
        <v/>
      </c>
    </row>
    <row r="315">
      <c r="D315" s="6" t="n"/>
      <c r="E315" s="6" t="n"/>
      <c r="G315" s="7" t="n"/>
      <c r="J315" s="7">
        <f>IFERROR(G315/F315,"")</f>
        <v/>
      </c>
      <c r="K315">
        <f>IFERROR(TODAY()-E315,"")</f>
        <v/>
      </c>
      <c r="L315">
        <f>IFERROR(IF(K315&lt;=90,"ATIVO",IF(K315&lt;=365,"MORNO","DORMENTE")),"")</f>
        <v/>
      </c>
    </row>
    <row r="316">
      <c r="D316" s="6" t="n"/>
      <c r="E316" s="6" t="n"/>
      <c r="G316" s="7" t="n"/>
      <c r="J316" s="7">
        <f>IFERROR(G316/F316,"")</f>
        <v/>
      </c>
      <c r="K316">
        <f>IFERROR(TODAY()-E316,"")</f>
        <v/>
      </c>
      <c r="L316">
        <f>IFERROR(IF(K316&lt;=90,"ATIVO",IF(K316&lt;=365,"MORNO","DORMENTE")),"")</f>
        <v/>
      </c>
    </row>
    <row r="317">
      <c r="D317" s="6" t="n"/>
      <c r="E317" s="6" t="n"/>
      <c r="G317" s="7" t="n"/>
      <c r="J317" s="7">
        <f>IFERROR(G317/F317,"")</f>
        <v/>
      </c>
      <c r="K317">
        <f>IFERROR(TODAY()-E317,"")</f>
        <v/>
      </c>
      <c r="L317">
        <f>IFERROR(IF(K317&lt;=90,"ATIVO",IF(K317&lt;=365,"MORNO","DORMENTE")),"")</f>
        <v/>
      </c>
    </row>
    <row r="318">
      <c r="D318" s="6" t="n"/>
      <c r="E318" s="6" t="n"/>
      <c r="G318" s="7" t="n"/>
      <c r="J318" s="7">
        <f>IFERROR(G318/F318,"")</f>
        <v/>
      </c>
      <c r="K318">
        <f>IFERROR(TODAY()-E318,"")</f>
        <v/>
      </c>
      <c r="L318">
        <f>IFERROR(IF(K318&lt;=90,"ATIVO",IF(K318&lt;=365,"MORNO","DORMENTE")),"")</f>
        <v/>
      </c>
    </row>
    <row r="319">
      <c r="D319" s="6" t="n"/>
      <c r="E319" s="6" t="n"/>
      <c r="G319" s="7" t="n"/>
      <c r="J319" s="7">
        <f>IFERROR(G319/F319,"")</f>
        <v/>
      </c>
      <c r="K319">
        <f>IFERROR(TODAY()-E319,"")</f>
        <v/>
      </c>
      <c r="L319">
        <f>IFERROR(IF(K319&lt;=90,"ATIVO",IF(K319&lt;=365,"MORNO","DORMENTE")),"")</f>
        <v/>
      </c>
    </row>
    <row r="320">
      <c r="D320" s="6" t="n"/>
      <c r="E320" s="6" t="n"/>
      <c r="G320" s="7" t="n"/>
      <c r="J320" s="7">
        <f>IFERROR(G320/F320,"")</f>
        <v/>
      </c>
      <c r="K320">
        <f>IFERROR(TODAY()-E320,"")</f>
        <v/>
      </c>
      <c r="L320">
        <f>IFERROR(IF(K320&lt;=90,"ATIVO",IF(K320&lt;=365,"MORNO","DORMENTE")),"")</f>
        <v/>
      </c>
    </row>
    <row r="321">
      <c r="D321" s="6" t="n"/>
      <c r="E321" s="6" t="n"/>
      <c r="G321" s="7" t="n"/>
      <c r="J321" s="7">
        <f>IFERROR(G321/F321,"")</f>
        <v/>
      </c>
      <c r="K321">
        <f>IFERROR(TODAY()-E321,"")</f>
        <v/>
      </c>
      <c r="L321">
        <f>IFERROR(IF(K321&lt;=90,"ATIVO",IF(K321&lt;=365,"MORNO","DORMENTE")),"")</f>
        <v/>
      </c>
    </row>
    <row r="322">
      <c r="D322" s="6" t="n"/>
      <c r="E322" s="6" t="n"/>
      <c r="G322" s="7" t="n"/>
      <c r="J322" s="7">
        <f>IFERROR(G322/F322,"")</f>
        <v/>
      </c>
      <c r="K322">
        <f>IFERROR(TODAY()-E322,"")</f>
        <v/>
      </c>
      <c r="L322">
        <f>IFERROR(IF(K322&lt;=90,"ATIVO",IF(K322&lt;=365,"MORNO","DORMENTE")),"")</f>
        <v/>
      </c>
    </row>
    <row r="323">
      <c r="D323" s="6" t="n"/>
      <c r="E323" s="6" t="n"/>
      <c r="G323" s="7" t="n"/>
      <c r="J323" s="7">
        <f>IFERROR(G323/F323,"")</f>
        <v/>
      </c>
      <c r="K323">
        <f>IFERROR(TODAY()-E323,"")</f>
        <v/>
      </c>
      <c r="L323">
        <f>IFERROR(IF(K323&lt;=90,"ATIVO",IF(K323&lt;=365,"MORNO","DORMENTE")),"")</f>
        <v/>
      </c>
    </row>
    <row r="324">
      <c r="D324" s="6" t="n"/>
      <c r="E324" s="6" t="n"/>
      <c r="G324" s="7" t="n"/>
      <c r="J324" s="7">
        <f>IFERROR(G324/F324,"")</f>
        <v/>
      </c>
      <c r="K324">
        <f>IFERROR(TODAY()-E324,"")</f>
        <v/>
      </c>
      <c r="L324">
        <f>IFERROR(IF(K324&lt;=90,"ATIVO",IF(K324&lt;=365,"MORNO","DORMENTE")),"")</f>
        <v/>
      </c>
    </row>
    <row r="325">
      <c r="D325" s="6" t="n"/>
      <c r="E325" s="6" t="n"/>
      <c r="G325" s="7" t="n"/>
      <c r="J325" s="7">
        <f>IFERROR(G325/F325,"")</f>
        <v/>
      </c>
      <c r="K325">
        <f>IFERROR(TODAY()-E325,"")</f>
        <v/>
      </c>
      <c r="L325">
        <f>IFERROR(IF(K325&lt;=90,"ATIVO",IF(K325&lt;=365,"MORNO","DORMENTE")),"")</f>
        <v/>
      </c>
    </row>
    <row r="326">
      <c r="D326" s="6" t="n"/>
      <c r="E326" s="6" t="n"/>
      <c r="G326" s="7" t="n"/>
      <c r="J326" s="7">
        <f>IFERROR(G326/F326,"")</f>
        <v/>
      </c>
      <c r="K326">
        <f>IFERROR(TODAY()-E326,"")</f>
        <v/>
      </c>
      <c r="L326">
        <f>IFERROR(IF(K326&lt;=90,"ATIVO",IF(K326&lt;=365,"MORNO","DORMENTE")),"")</f>
        <v/>
      </c>
    </row>
    <row r="327">
      <c r="D327" s="6" t="n"/>
      <c r="E327" s="6" t="n"/>
      <c r="G327" s="7" t="n"/>
      <c r="J327" s="7">
        <f>IFERROR(G327/F327,"")</f>
        <v/>
      </c>
      <c r="K327">
        <f>IFERROR(TODAY()-E327,"")</f>
        <v/>
      </c>
      <c r="L327">
        <f>IFERROR(IF(K327&lt;=90,"ATIVO",IF(K327&lt;=365,"MORNO","DORMENTE")),"")</f>
        <v/>
      </c>
    </row>
    <row r="328">
      <c r="D328" s="6" t="n"/>
      <c r="E328" s="6" t="n"/>
      <c r="G328" s="7" t="n"/>
      <c r="J328" s="7">
        <f>IFERROR(G328/F328,"")</f>
        <v/>
      </c>
      <c r="K328">
        <f>IFERROR(TODAY()-E328,"")</f>
        <v/>
      </c>
      <c r="L328">
        <f>IFERROR(IF(K328&lt;=90,"ATIVO",IF(K328&lt;=365,"MORNO","DORMENTE")),"")</f>
        <v/>
      </c>
    </row>
    <row r="329">
      <c r="D329" s="6" t="n"/>
      <c r="E329" s="6" t="n"/>
      <c r="G329" s="7" t="n"/>
      <c r="J329" s="7">
        <f>IFERROR(G329/F329,"")</f>
        <v/>
      </c>
      <c r="K329">
        <f>IFERROR(TODAY()-E329,"")</f>
        <v/>
      </c>
      <c r="L329">
        <f>IFERROR(IF(K329&lt;=90,"ATIVO",IF(K329&lt;=365,"MORNO","DORMENTE")),"")</f>
        <v/>
      </c>
    </row>
    <row r="330">
      <c r="D330" s="6" t="n"/>
      <c r="E330" s="6" t="n"/>
      <c r="G330" s="7" t="n"/>
      <c r="J330" s="7">
        <f>IFERROR(G330/F330,"")</f>
        <v/>
      </c>
      <c r="K330">
        <f>IFERROR(TODAY()-E330,"")</f>
        <v/>
      </c>
      <c r="L330">
        <f>IFERROR(IF(K330&lt;=90,"ATIVO",IF(K330&lt;=365,"MORNO","DORMENTE")),"")</f>
        <v/>
      </c>
    </row>
    <row r="331">
      <c r="D331" s="6" t="n"/>
      <c r="E331" s="6" t="n"/>
      <c r="G331" s="7" t="n"/>
      <c r="J331" s="7">
        <f>IFERROR(G331/F331,"")</f>
        <v/>
      </c>
      <c r="K331">
        <f>IFERROR(TODAY()-E331,"")</f>
        <v/>
      </c>
      <c r="L331">
        <f>IFERROR(IF(K331&lt;=90,"ATIVO",IF(K331&lt;=365,"MORNO","DORMENTE")),"")</f>
        <v/>
      </c>
    </row>
    <row r="332">
      <c r="D332" s="6" t="n"/>
      <c r="E332" s="6" t="n"/>
      <c r="G332" s="7" t="n"/>
      <c r="J332" s="7">
        <f>IFERROR(G332/F332,"")</f>
        <v/>
      </c>
      <c r="K332">
        <f>IFERROR(TODAY()-E332,"")</f>
        <v/>
      </c>
      <c r="L332">
        <f>IFERROR(IF(K332&lt;=90,"ATIVO",IF(K332&lt;=365,"MORNO","DORMENTE")),"")</f>
        <v/>
      </c>
    </row>
    <row r="333">
      <c r="D333" s="6" t="n"/>
      <c r="E333" s="6" t="n"/>
      <c r="G333" s="7" t="n"/>
      <c r="J333" s="7">
        <f>IFERROR(G333/F333,"")</f>
        <v/>
      </c>
      <c r="K333">
        <f>IFERROR(TODAY()-E333,"")</f>
        <v/>
      </c>
      <c r="L333">
        <f>IFERROR(IF(K333&lt;=90,"ATIVO",IF(K333&lt;=365,"MORNO","DORMENTE")),"")</f>
        <v/>
      </c>
    </row>
    <row r="334">
      <c r="D334" s="6" t="n"/>
      <c r="E334" s="6" t="n"/>
      <c r="G334" s="7" t="n"/>
      <c r="J334" s="7">
        <f>IFERROR(G334/F334,"")</f>
        <v/>
      </c>
      <c r="K334">
        <f>IFERROR(TODAY()-E334,"")</f>
        <v/>
      </c>
      <c r="L334">
        <f>IFERROR(IF(K334&lt;=90,"ATIVO",IF(K334&lt;=365,"MORNO","DORMENTE")),"")</f>
        <v/>
      </c>
    </row>
    <row r="335">
      <c r="D335" s="6" t="n"/>
      <c r="E335" s="6" t="n"/>
      <c r="G335" s="7" t="n"/>
      <c r="J335" s="7">
        <f>IFERROR(G335/F335,"")</f>
        <v/>
      </c>
      <c r="K335">
        <f>IFERROR(TODAY()-E335,"")</f>
        <v/>
      </c>
      <c r="L335">
        <f>IFERROR(IF(K335&lt;=90,"ATIVO",IF(K335&lt;=365,"MORNO","DORMENTE")),"")</f>
        <v/>
      </c>
    </row>
    <row r="336">
      <c r="D336" s="6" t="n"/>
      <c r="E336" s="6" t="n"/>
      <c r="G336" s="7" t="n"/>
      <c r="J336" s="7">
        <f>IFERROR(G336/F336,"")</f>
        <v/>
      </c>
      <c r="K336">
        <f>IFERROR(TODAY()-E336,"")</f>
        <v/>
      </c>
      <c r="L336">
        <f>IFERROR(IF(K336&lt;=90,"ATIVO",IF(K336&lt;=365,"MORNO","DORMENTE")),"")</f>
        <v/>
      </c>
    </row>
    <row r="337">
      <c r="D337" s="6" t="n"/>
      <c r="E337" s="6" t="n"/>
      <c r="G337" s="7" t="n"/>
      <c r="J337" s="7">
        <f>IFERROR(G337/F337,"")</f>
        <v/>
      </c>
      <c r="K337">
        <f>IFERROR(TODAY()-E337,"")</f>
        <v/>
      </c>
      <c r="L337">
        <f>IFERROR(IF(K337&lt;=90,"ATIVO",IF(K337&lt;=365,"MORNO","DORMENTE")),"")</f>
        <v/>
      </c>
    </row>
    <row r="338">
      <c r="D338" s="6" t="n"/>
      <c r="E338" s="6" t="n"/>
      <c r="G338" s="7" t="n"/>
      <c r="J338" s="7">
        <f>IFERROR(G338/F338,"")</f>
        <v/>
      </c>
      <c r="K338">
        <f>IFERROR(TODAY()-E338,"")</f>
        <v/>
      </c>
      <c r="L338">
        <f>IFERROR(IF(K338&lt;=90,"ATIVO",IF(K338&lt;=365,"MORNO","DORMENTE")),"")</f>
        <v/>
      </c>
    </row>
    <row r="339">
      <c r="D339" s="6" t="n"/>
      <c r="E339" s="6" t="n"/>
      <c r="G339" s="7" t="n"/>
      <c r="J339" s="7">
        <f>IFERROR(G339/F339,"")</f>
        <v/>
      </c>
      <c r="K339">
        <f>IFERROR(TODAY()-E339,"")</f>
        <v/>
      </c>
      <c r="L339">
        <f>IFERROR(IF(K339&lt;=90,"ATIVO",IF(K339&lt;=365,"MORNO","DORMENTE")),"")</f>
        <v/>
      </c>
    </row>
    <row r="340">
      <c r="D340" s="6" t="n"/>
      <c r="E340" s="6" t="n"/>
      <c r="G340" s="7" t="n"/>
      <c r="J340" s="7">
        <f>IFERROR(G340/F340,"")</f>
        <v/>
      </c>
      <c r="K340">
        <f>IFERROR(TODAY()-E340,"")</f>
        <v/>
      </c>
      <c r="L340">
        <f>IFERROR(IF(K340&lt;=90,"ATIVO",IF(K340&lt;=365,"MORNO","DORMENTE")),"")</f>
        <v/>
      </c>
    </row>
    <row r="341">
      <c r="D341" s="6" t="n"/>
      <c r="E341" s="6" t="n"/>
      <c r="G341" s="7" t="n"/>
      <c r="J341" s="7">
        <f>IFERROR(G341/F341,"")</f>
        <v/>
      </c>
      <c r="K341">
        <f>IFERROR(TODAY()-E341,"")</f>
        <v/>
      </c>
      <c r="L341">
        <f>IFERROR(IF(K341&lt;=90,"ATIVO",IF(K341&lt;=365,"MORNO","DORMENTE")),"")</f>
        <v/>
      </c>
    </row>
    <row r="342">
      <c r="D342" s="6" t="n"/>
      <c r="E342" s="6" t="n"/>
      <c r="G342" s="7" t="n"/>
      <c r="J342" s="7">
        <f>IFERROR(G342/F342,"")</f>
        <v/>
      </c>
      <c r="K342">
        <f>IFERROR(TODAY()-E342,"")</f>
        <v/>
      </c>
      <c r="L342">
        <f>IFERROR(IF(K342&lt;=90,"ATIVO",IF(K342&lt;=365,"MORNO","DORMENTE")),"")</f>
        <v/>
      </c>
    </row>
    <row r="343">
      <c r="D343" s="6" t="n"/>
      <c r="E343" s="6" t="n"/>
      <c r="G343" s="7" t="n"/>
      <c r="J343" s="7">
        <f>IFERROR(G343/F343,"")</f>
        <v/>
      </c>
      <c r="K343">
        <f>IFERROR(TODAY()-E343,"")</f>
        <v/>
      </c>
      <c r="L343">
        <f>IFERROR(IF(K343&lt;=90,"ATIVO",IF(K343&lt;=365,"MORNO","DORMENTE")),"")</f>
        <v/>
      </c>
    </row>
    <row r="344">
      <c r="D344" s="6" t="n"/>
      <c r="E344" s="6" t="n"/>
      <c r="G344" s="7" t="n"/>
      <c r="J344" s="7">
        <f>IFERROR(G344/F344,"")</f>
        <v/>
      </c>
      <c r="K344">
        <f>IFERROR(TODAY()-E344,"")</f>
        <v/>
      </c>
      <c r="L344">
        <f>IFERROR(IF(K344&lt;=90,"ATIVO",IF(K344&lt;=365,"MORNO","DORMENTE")),"")</f>
        <v/>
      </c>
    </row>
    <row r="345">
      <c r="D345" s="6" t="n"/>
      <c r="E345" s="6" t="n"/>
      <c r="G345" s="7" t="n"/>
      <c r="J345" s="7">
        <f>IFERROR(G345/F345,"")</f>
        <v/>
      </c>
      <c r="K345">
        <f>IFERROR(TODAY()-E345,"")</f>
        <v/>
      </c>
      <c r="L345">
        <f>IFERROR(IF(K345&lt;=90,"ATIVO",IF(K345&lt;=365,"MORNO","DORMENTE")),"")</f>
        <v/>
      </c>
    </row>
    <row r="346">
      <c r="D346" s="6" t="n"/>
      <c r="E346" s="6" t="n"/>
      <c r="G346" s="7" t="n"/>
      <c r="J346" s="7">
        <f>IFERROR(G346/F346,"")</f>
        <v/>
      </c>
      <c r="K346">
        <f>IFERROR(TODAY()-E346,"")</f>
        <v/>
      </c>
      <c r="L346">
        <f>IFERROR(IF(K346&lt;=90,"ATIVO",IF(K346&lt;=365,"MORNO","DORMENTE")),"")</f>
        <v/>
      </c>
    </row>
    <row r="347">
      <c r="D347" s="6" t="n"/>
      <c r="E347" s="6" t="n"/>
      <c r="G347" s="7" t="n"/>
      <c r="J347" s="7">
        <f>IFERROR(G347/F347,"")</f>
        <v/>
      </c>
      <c r="K347">
        <f>IFERROR(TODAY()-E347,"")</f>
        <v/>
      </c>
      <c r="L347">
        <f>IFERROR(IF(K347&lt;=90,"ATIVO",IF(K347&lt;=365,"MORNO","DORMENTE")),"")</f>
        <v/>
      </c>
    </row>
    <row r="348">
      <c r="D348" s="6" t="n"/>
      <c r="E348" s="6" t="n"/>
      <c r="G348" s="7" t="n"/>
      <c r="J348" s="7">
        <f>IFERROR(G348/F348,"")</f>
        <v/>
      </c>
      <c r="K348">
        <f>IFERROR(TODAY()-E348,"")</f>
        <v/>
      </c>
      <c r="L348">
        <f>IFERROR(IF(K348&lt;=90,"ATIVO",IF(K348&lt;=365,"MORNO","DORMENTE")),"")</f>
        <v/>
      </c>
    </row>
    <row r="349">
      <c r="D349" s="6" t="n"/>
      <c r="E349" s="6" t="n"/>
      <c r="G349" s="7" t="n"/>
      <c r="J349" s="7">
        <f>IFERROR(G349/F349,"")</f>
        <v/>
      </c>
      <c r="K349">
        <f>IFERROR(TODAY()-E349,"")</f>
        <v/>
      </c>
      <c r="L349">
        <f>IFERROR(IF(K349&lt;=90,"ATIVO",IF(K349&lt;=365,"MORNO","DORMENTE")),"")</f>
        <v/>
      </c>
    </row>
    <row r="350">
      <c r="D350" s="6" t="n"/>
      <c r="E350" s="6" t="n"/>
      <c r="G350" s="7" t="n"/>
      <c r="J350" s="7">
        <f>IFERROR(G350/F350,"")</f>
        <v/>
      </c>
      <c r="K350">
        <f>IFERROR(TODAY()-E350,"")</f>
        <v/>
      </c>
      <c r="L350">
        <f>IFERROR(IF(K350&lt;=90,"ATIVO",IF(K350&lt;=365,"MORNO","DORMENTE")),"")</f>
        <v/>
      </c>
    </row>
    <row r="351">
      <c r="D351" s="6" t="n"/>
      <c r="E351" s="6" t="n"/>
      <c r="G351" s="7" t="n"/>
      <c r="J351" s="7">
        <f>IFERROR(G351/F351,"")</f>
        <v/>
      </c>
      <c r="K351">
        <f>IFERROR(TODAY()-E351,"")</f>
        <v/>
      </c>
      <c r="L351">
        <f>IFERROR(IF(K351&lt;=90,"ATIVO",IF(K351&lt;=365,"MORNO","DORMENTE")),"")</f>
        <v/>
      </c>
    </row>
    <row r="352">
      <c r="D352" s="6" t="n"/>
      <c r="E352" s="6" t="n"/>
      <c r="G352" s="7" t="n"/>
      <c r="J352" s="7">
        <f>IFERROR(G352/F352,"")</f>
        <v/>
      </c>
      <c r="K352">
        <f>IFERROR(TODAY()-E352,"")</f>
        <v/>
      </c>
      <c r="L352">
        <f>IFERROR(IF(K352&lt;=90,"ATIVO",IF(K352&lt;=365,"MORNO","DORMENTE")),"")</f>
        <v/>
      </c>
    </row>
    <row r="353">
      <c r="D353" s="6" t="n"/>
      <c r="E353" s="6" t="n"/>
      <c r="G353" s="7" t="n"/>
      <c r="J353" s="7">
        <f>IFERROR(G353/F353,"")</f>
        <v/>
      </c>
      <c r="K353">
        <f>IFERROR(TODAY()-E353,"")</f>
        <v/>
      </c>
      <c r="L353">
        <f>IFERROR(IF(K353&lt;=90,"ATIVO",IF(K353&lt;=365,"MORNO","DORMENTE")),"")</f>
        <v/>
      </c>
    </row>
    <row r="354">
      <c r="D354" s="6" t="n"/>
      <c r="E354" s="6" t="n"/>
      <c r="G354" s="7" t="n"/>
      <c r="J354" s="7">
        <f>IFERROR(G354/F354,"")</f>
        <v/>
      </c>
      <c r="K354">
        <f>IFERROR(TODAY()-E354,"")</f>
        <v/>
      </c>
      <c r="L354">
        <f>IFERROR(IF(K354&lt;=90,"ATIVO",IF(K354&lt;=365,"MORNO","DORMENTE")),"")</f>
        <v/>
      </c>
    </row>
    <row r="355">
      <c r="D355" s="6" t="n"/>
      <c r="E355" s="6" t="n"/>
      <c r="G355" s="7" t="n"/>
      <c r="J355" s="7">
        <f>IFERROR(G355/F355,"")</f>
        <v/>
      </c>
      <c r="K355">
        <f>IFERROR(TODAY()-E355,"")</f>
        <v/>
      </c>
      <c r="L355">
        <f>IFERROR(IF(K355&lt;=90,"ATIVO",IF(K355&lt;=365,"MORNO","DORMENTE")),"")</f>
        <v/>
      </c>
    </row>
    <row r="356">
      <c r="D356" s="6" t="n"/>
      <c r="E356" s="6" t="n"/>
      <c r="G356" s="7" t="n"/>
      <c r="J356" s="7">
        <f>IFERROR(G356/F356,"")</f>
        <v/>
      </c>
      <c r="K356">
        <f>IFERROR(TODAY()-E356,"")</f>
        <v/>
      </c>
      <c r="L356">
        <f>IFERROR(IF(K356&lt;=90,"ATIVO",IF(K356&lt;=365,"MORNO","DORMENTE")),"")</f>
        <v/>
      </c>
    </row>
    <row r="357">
      <c r="D357" s="6" t="n"/>
      <c r="E357" s="6" t="n"/>
      <c r="G357" s="7" t="n"/>
      <c r="J357" s="7">
        <f>IFERROR(G357/F357,"")</f>
        <v/>
      </c>
      <c r="K357">
        <f>IFERROR(TODAY()-E357,"")</f>
        <v/>
      </c>
      <c r="L357">
        <f>IFERROR(IF(K357&lt;=90,"ATIVO",IF(K357&lt;=365,"MORNO","DORMENTE")),"")</f>
        <v/>
      </c>
    </row>
    <row r="358">
      <c r="D358" s="6" t="n"/>
      <c r="E358" s="6" t="n"/>
      <c r="G358" s="7" t="n"/>
      <c r="J358" s="7">
        <f>IFERROR(G358/F358,"")</f>
        <v/>
      </c>
      <c r="K358">
        <f>IFERROR(TODAY()-E358,"")</f>
        <v/>
      </c>
      <c r="L358">
        <f>IFERROR(IF(K358&lt;=90,"ATIVO",IF(K358&lt;=365,"MORNO","DORMENTE")),"")</f>
        <v/>
      </c>
    </row>
    <row r="359">
      <c r="D359" s="6" t="n"/>
      <c r="E359" s="6" t="n"/>
      <c r="G359" s="7" t="n"/>
      <c r="J359" s="7">
        <f>IFERROR(G359/F359,"")</f>
        <v/>
      </c>
      <c r="K359">
        <f>IFERROR(TODAY()-E359,"")</f>
        <v/>
      </c>
      <c r="L359">
        <f>IFERROR(IF(K359&lt;=90,"ATIVO",IF(K359&lt;=365,"MORNO","DORMENTE")),"")</f>
        <v/>
      </c>
    </row>
    <row r="360">
      <c r="D360" s="6" t="n"/>
      <c r="E360" s="6" t="n"/>
      <c r="G360" s="7" t="n"/>
      <c r="J360" s="7">
        <f>IFERROR(G360/F360,"")</f>
        <v/>
      </c>
      <c r="K360">
        <f>IFERROR(TODAY()-E360,"")</f>
        <v/>
      </c>
      <c r="L360">
        <f>IFERROR(IF(K360&lt;=90,"ATIVO",IF(K360&lt;=365,"MORNO","DORMENTE")),"")</f>
        <v/>
      </c>
    </row>
    <row r="361">
      <c r="D361" s="6" t="n"/>
      <c r="E361" s="6" t="n"/>
      <c r="G361" s="7" t="n"/>
      <c r="J361" s="7">
        <f>IFERROR(G361/F361,"")</f>
        <v/>
      </c>
      <c r="K361">
        <f>IFERROR(TODAY()-E361,"")</f>
        <v/>
      </c>
      <c r="L361">
        <f>IFERROR(IF(K361&lt;=90,"ATIVO",IF(K361&lt;=365,"MORNO","DORMENTE")),"")</f>
        <v/>
      </c>
    </row>
    <row r="362">
      <c r="D362" s="6" t="n"/>
      <c r="E362" s="6" t="n"/>
      <c r="G362" s="7" t="n"/>
      <c r="J362" s="7">
        <f>IFERROR(G362/F362,"")</f>
        <v/>
      </c>
      <c r="K362">
        <f>IFERROR(TODAY()-E362,"")</f>
        <v/>
      </c>
      <c r="L362">
        <f>IFERROR(IF(K362&lt;=90,"ATIVO",IF(K362&lt;=365,"MORNO","DORMENTE")),"")</f>
        <v/>
      </c>
    </row>
    <row r="363">
      <c r="D363" s="6" t="n"/>
      <c r="E363" s="6" t="n"/>
      <c r="G363" s="7" t="n"/>
      <c r="J363" s="7">
        <f>IFERROR(G363/F363,"")</f>
        <v/>
      </c>
      <c r="K363">
        <f>IFERROR(TODAY()-E363,"")</f>
        <v/>
      </c>
      <c r="L363">
        <f>IFERROR(IF(K363&lt;=90,"ATIVO",IF(K363&lt;=365,"MORNO","DORMENTE")),"")</f>
        <v/>
      </c>
    </row>
    <row r="364">
      <c r="D364" s="6" t="n"/>
      <c r="E364" s="6" t="n"/>
      <c r="G364" s="7" t="n"/>
      <c r="J364" s="7">
        <f>IFERROR(G364/F364,"")</f>
        <v/>
      </c>
      <c r="K364">
        <f>IFERROR(TODAY()-E364,"")</f>
        <v/>
      </c>
      <c r="L364">
        <f>IFERROR(IF(K364&lt;=90,"ATIVO",IF(K364&lt;=365,"MORNO","DORMENTE")),"")</f>
        <v/>
      </c>
    </row>
    <row r="365">
      <c r="D365" s="6" t="n"/>
      <c r="E365" s="6" t="n"/>
      <c r="G365" s="7" t="n"/>
      <c r="J365" s="7">
        <f>IFERROR(G365/F365,"")</f>
        <v/>
      </c>
      <c r="K365">
        <f>IFERROR(TODAY()-E365,"")</f>
        <v/>
      </c>
      <c r="L365">
        <f>IFERROR(IF(K365&lt;=90,"ATIVO",IF(K365&lt;=365,"MORNO","DORMENTE")),"")</f>
        <v/>
      </c>
    </row>
    <row r="366">
      <c r="D366" s="6" t="n"/>
      <c r="E366" s="6" t="n"/>
      <c r="G366" s="7" t="n"/>
      <c r="J366" s="7">
        <f>IFERROR(G366/F366,"")</f>
        <v/>
      </c>
      <c r="K366">
        <f>IFERROR(TODAY()-E366,"")</f>
        <v/>
      </c>
      <c r="L366">
        <f>IFERROR(IF(K366&lt;=90,"ATIVO",IF(K366&lt;=365,"MORNO","DORMENTE")),"")</f>
        <v/>
      </c>
    </row>
    <row r="367">
      <c r="D367" s="6" t="n"/>
      <c r="E367" s="6" t="n"/>
      <c r="G367" s="7" t="n"/>
      <c r="J367" s="7">
        <f>IFERROR(G367/F367,"")</f>
        <v/>
      </c>
      <c r="K367">
        <f>IFERROR(TODAY()-E367,"")</f>
        <v/>
      </c>
      <c r="L367">
        <f>IFERROR(IF(K367&lt;=90,"ATIVO",IF(K367&lt;=365,"MORNO","DORMENTE")),"")</f>
        <v/>
      </c>
    </row>
    <row r="368">
      <c r="D368" s="6" t="n"/>
      <c r="E368" s="6" t="n"/>
      <c r="G368" s="7" t="n"/>
      <c r="J368" s="7">
        <f>IFERROR(G368/F368,"")</f>
        <v/>
      </c>
      <c r="K368">
        <f>IFERROR(TODAY()-E368,"")</f>
        <v/>
      </c>
      <c r="L368">
        <f>IFERROR(IF(K368&lt;=90,"ATIVO",IF(K368&lt;=365,"MORNO","DORMENTE")),"")</f>
        <v/>
      </c>
    </row>
    <row r="369">
      <c r="D369" s="6" t="n"/>
      <c r="E369" s="6" t="n"/>
      <c r="G369" s="7" t="n"/>
      <c r="J369" s="7">
        <f>IFERROR(G369/F369,"")</f>
        <v/>
      </c>
      <c r="K369">
        <f>IFERROR(TODAY()-E369,"")</f>
        <v/>
      </c>
      <c r="L369">
        <f>IFERROR(IF(K369&lt;=90,"ATIVO",IF(K369&lt;=365,"MORNO","DORMENTE")),"")</f>
        <v/>
      </c>
    </row>
    <row r="370">
      <c r="D370" s="6" t="n"/>
      <c r="E370" s="6" t="n"/>
      <c r="G370" s="7" t="n"/>
      <c r="J370" s="7">
        <f>IFERROR(G370/F370,"")</f>
        <v/>
      </c>
      <c r="K370">
        <f>IFERROR(TODAY()-E370,"")</f>
        <v/>
      </c>
      <c r="L370">
        <f>IFERROR(IF(K370&lt;=90,"ATIVO",IF(K370&lt;=365,"MORNO","DORMENTE")),"")</f>
        <v/>
      </c>
    </row>
    <row r="371">
      <c r="D371" s="6" t="n"/>
      <c r="E371" s="6" t="n"/>
      <c r="G371" s="7" t="n"/>
      <c r="J371" s="7">
        <f>IFERROR(G371/F371,"")</f>
        <v/>
      </c>
      <c r="K371">
        <f>IFERROR(TODAY()-E371,"")</f>
        <v/>
      </c>
      <c r="L371">
        <f>IFERROR(IF(K371&lt;=90,"ATIVO",IF(K371&lt;=365,"MORNO","DORMENTE")),"")</f>
        <v/>
      </c>
    </row>
    <row r="372">
      <c r="D372" s="6" t="n"/>
      <c r="E372" s="6" t="n"/>
      <c r="G372" s="7" t="n"/>
      <c r="J372" s="7">
        <f>IFERROR(G372/F372,"")</f>
        <v/>
      </c>
      <c r="K372">
        <f>IFERROR(TODAY()-E372,"")</f>
        <v/>
      </c>
      <c r="L372">
        <f>IFERROR(IF(K372&lt;=90,"ATIVO",IF(K372&lt;=365,"MORNO","DORMENTE")),"")</f>
        <v/>
      </c>
    </row>
    <row r="373">
      <c r="D373" s="6" t="n"/>
      <c r="E373" s="6" t="n"/>
      <c r="G373" s="7" t="n"/>
      <c r="J373" s="7">
        <f>IFERROR(G373/F373,"")</f>
        <v/>
      </c>
      <c r="K373">
        <f>IFERROR(TODAY()-E373,"")</f>
        <v/>
      </c>
      <c r="L373">
        <f>IFERROR(IF(K373&lt;=90,"ATIVO",IF(K373&lt;=365,"MORNO","DORMENTE")),"")</f>
        <v/>
      </c>
    </row>
    <row r="374">
      <c r="D374" s="6" t="n"/>
      <c r="E374" s="6" t="n"/>
      <c r="G374" s="7" t="n"/>
      <c r="J374" s="7">
        <f>IFERROR(G374/F374,"")</f>
        <v/>
      </c>
      <c r="K374">
        <f>IFERROR(TODAY()-E374,"")</f>
        <v/>
      </c>
      <c r="L374">
        <f>IFERROR(IF(K374&lt;=90,"ATIVO",IF(K374&lt;=365,"MORNO","DORMENTE")),"")</f>
        <v/>
      </c>
    </row>
    <row r="375">
      <c r="D375" s="6" t="n"/>
      <c r="E375" s="6" t="n"/>
      <c r="G375" s="7" t="n"/>
      <c r="J375" s="7">
        <f>IFERROR(G375/F375,"")</f>
        <v/>
      </c>
      <c r="K375">
        <f>IFERROR(TODAY()-E375,"")</f>
        <v/>
      </c>
      <c r="L375">
        <f>IFERROR(IF(K375&lt;=90,"ATIVO",IF(K375&lt;=365,"MORNO","DORMENTE")),"")</f>
        <v/>
      </c>
    </row>
    <row r="376">
      <c r="D376" s="6" t="n"/>
      <c r="E376" s="6" t="n"/>
      <c r="G376" s="7" t="n"/>
      <c r="J376" s="7">
        <f>IFERROR(G376/F376,"")</f>
        <v/>
      </c>
      <c r="K376">
        <f>IFERROR(TODAY()-E376,"")</f>
        <v/>
      </c>
      <c r="L376">
        <f>IFERROR(IF(K376&lt;=90,"ATIVO",IF(K376&lt;=365,"MORNO","DORMENTE")),"")</f>
        <v/>
      </c>
    </row>
    <row r="377">
      <c r="D377" s="6" t="n"/>
      <c r="E377" s="6" t="n"/>
      <c r="G377" s="7" t="n"/>
      <c r="J377" s="7">
        <f>IFERROR(G377/F377,"")</f>
        <v/>
      </c>
      <c r="K377">
        <f>IFERROR(TODAY()-E377,"")</f>
        <v/>
      </c>
      <c r="L377">
        <f>IFERROR(IF(K377&lt;=90,"ATIVO",IF(K377&lt;=365,"MORNO","DORMENTE")),"")</f>
        <v/>
      </c>
    </row>
    <row r="378">
      <c r="D378" s="6" t="n"/>
      <c r="E378" s="6" t="n"/>
      <c r="G378" s="7" t="n"/>
      <c r="J378" s="7">
        <f>IFERROR(G378/F378,"")</f>
        <v/>
      </c>
      <c r="K378">
        <f>IFERROR(TODAY()-E378,"")</f>
        <v/>
      </c>
      <c r="L378">
        <f>IFERROR(IF(K378&lt;=90,"ATIVO",IF(K378&lt;=365,"MORNO","DORMENTE")),"")</f>
        <v/>
      </c>
    </row>
    <row r="379">
      <c r="D379" s="6" t="n"/>
      <c r="E379" s="6" t="n"/>
      <c r="G379" s="7" t="n"/>
      <c r="J379" s="7">
        <f>IFERROR(G379/F379,"")</f>
        <v/>
      </c>
      <c r="K379">
        <f>IFERROR(TODAY()-E379,"")</f>
        <v/>
      </c>
      <c r="L379">
        <f>IFERROR(IF(K379&lt;=90,"ATIVO",IF(K379&lt;=365,"MORNO","DORMENTE")),"")</f>
        <v/>
      </c>
    </row>
    <row r="380">
      <c r="D380" s="6" t="n"/>
      <c r="E380" s="6" t="n"/>
      <c r="G380" s="7" t="n"/>
      <c r="J380" s="7">
        <f>IFERROR(G380/F380,"")</f>
        <v/>
      </c>
      <c r="K380">
        <f>IFERROR(TODAY()-E380,"")</f>
        <v/>
      </c>
      <c r="L380">
        <f>IFERROR(IF(K380&lt;=90,"ATIVO",IF(K380&lt;=365,"MORNO","DORMENTE")),"")</f>
        <v/>
      </c>
    </row>
    <row r="381">
      <c r="D381" s="6" t="n"/>
      <c r="E381" s="6" t="n"/>
      <c r="G381" s="7" t="n"/>
      <c r="J381" s="7">
        <f>IFERROR(G381/F381,"")</f>
        <v/>
      </c>
      <c r="K381">
        <f>IFERROR(TODAY()-E381,"")</f>
        <v/>
      </c>
      <c r="L381">
        <f>IFERROR(IF(K381&lt;=90,"ATIVO",IF(K381&lt;=365,"MORNO","DORMENTE")),"")</f>
        <v/>
      </c>
    </row>
    <row r="382">
      <c r="D382" s="6" t="n"/>
      <c r="E382" s="6" t="n"/>
      <c r="G382" s="7" t="n"/>
      <c r="J382" s="7">
        <f>IFERROR(G382/F382,"")</f>
        <v/>
      </c>
      <c r="K382">
        <f>IFERROR(TODAY()-E382,"")</f>
        <v/>
      </c>
      <c r="L382">
        <f>IFERROR(IF(K382&lt;=90,"ATIVO",IF(K382&lt;=365,"MORNO","DORMENTE")),"")</f>
        <v/>
      </c>
    </row>
    <row r="383">
      <c r="D383" s="6" t="n"/>
      <c r="E383" s="6" t="n"/>
      <c r="G383" s="7" t="n"/>
      <c r="J383" s="7">
        <f>IFERROR(G383/F383,"")</f>
        <v/>
      </c>
      <c r="K383">
        <f>IFERROR(TODAY()-E383,"")</f>
        <v/>
      </c>
      <c r="L383">
        <f>IFERROR(IF(K383&lt;=90,"ATIVO",IF(K383&lt;=365,"MORNO","DORMENTE")),"")</f>
        <v/>
      </c>
    </row>
    <row r="384">
      <c r="D384" s="6" t="n"/>
      <c r="E384" s="6" t="n"/>
      <c r="G384" s="7" t="n"/>
      <c r="J384" s="7">
        <f>IFERROR(G384/F384,"")</f>
        <v/>
      </c>
      <c r="K384">
        <f>IFERROR(TODAY()-E384,"")</f>
        <v/>
      </c>
      <c r="L384">
        <f>IFERROR(IF(K384&lt;=90,"ATIVO",IF(K384&lt;=365,"MORNO","DORMENTE")),"")</f>
        <v/>
      </c>
    </row>
    <row r="385">
      <c r="D385" s="6" t="n"/>
      <c r="E385" s="6" t="n"/>
      <c r="G385" s="7" t="n"/>
      <c r="J385" s="7">
        <f>IFERROR(G385/F385,"")</f>
        <v/>
      </c>
      <c r="K385">
        <f>IFERROR(TODAY()-E385,"")</f>
        <v/>
      </c>
      <c r="L385">
        <f>IFERROR(IF(K385&lt;=90,"ATIVO",IF(K385&lt;=365,"MORNO","DORMENTE")),"")</f>
        <v/>
      </c>
    </row>
    <row r="386">
      <c r="D386" s="6" t="n"/>
      <c r="E386" s="6" t="n"/>
      <c r="G386" s="7" t="n"/>
      <c r="J386" s="7">
        <f>IFERROR(G386/F386,"")</f>
        <v/>
      </c>
      <c r="K386">
        <f>IFERROR(TODAY()-E386,"")</f>
        <v/>
      </c>
      <c r="L386">
        <f>IFERROR(IF(K386&lt;=90,"ATIVO",IF(K386&lt;=365,"MORNO","DORMENTE")),"")</f>
        <v/>
      </c>
    </row>
    <row r="387">
      <c r="D387" s="6" t="n"/>
      <c r="E387" s="6" t="n"/>
      <c r="G387" s="7" t="n"/>
      <c r="J387" s="7">
        <f>IFERROR(G387/F387,"")</f>
        <v/>
      </c>
      <c r="K387">
        <f>IFERROR(TODAY()-E387,"")</f>
        <v/>
      </c>
      <c r="L387">
        <f>IFERROR(IF(K387&lt;=90,"ATIVO",IF(K387&lt;=365,"MORNO","DORMENTE")),"")</f>
        <v/>
      </c>
    </row>
    <row r="388">
      <c r="D388" s="6" t="n"/>
      <c r="E388" s="6" t="n"/>
      <c r="G388" s="7" t="n"/>
      <c r="J388" s="7">
        <f>IFERROR(G388/F388,"")</f>
        <v/>
      </c>
      <c r="K388">
        <f>IFERROR(TODAY()-E388,"")</f>
        <v/>
      </c>
      <c r="L388">
        <f>IFERROR(IF(K388&lt;=90,"ATIVO",IF(K388&lt;=365,"MORNO","DORMENTE")),"")</f>
        <v/>
      </c>
    </row>
    <row r="389">
      <c r="D389" s="6" t="n"/>
      <c r="E389" s="6" t="n"/>
      <c r="G389" s="7" t="n"/>
      <c r="J389" s="7">
        <f>IFERROR(G389/F389,"")</f>
        <v/>
      </c>
      <c r="K389">
        <f>IFERROR(TODAY()-E389,"")</f>
        <v/>
      </c>
      <c r="L389">
        <f>IFERROR(IF(K389&lt;=90,"ATIVO",IF(K389&lt;=365,"MORNO","DORMENTE")),"")</f>
        <v/>
      </c>
    </row>
    <row r="390">
      <c r="D390" s="6" t="n"/>
      <c r="E390" s="6" t="n"/>
      <c r="G390" s="7" t="n"/>
      <c r="J390" s="7">
        <f>IFERROR(G390/F390,"")</f>
        <v/>
      </c>
      <c r="K390">
        <f>IFERROR(TODAY()-E390,"")</f>
        <v/>
      </c>
      <c r="L390">
        <f>IFERROR(IF(K390&lt;=90,"ATIVO",IF(K390&lt;=365,"MORNO","DORMENTE")),"")</f>
        <v/>
      </c>
    </row>
    <row r="391">
      <c r="D391" s="6" t="n"/>
      <c r="E391" s="6" t="n"/>
      <c r="G391" s="7" t="n"/>
      <c r="J391" s="7">
        <f>IFERROR(G391/F391,"")</f>
        <v/>
      </c>
      <c r="K391">
        <f>IFERROR(TODAY()-E391,"")</f>
        <v/>
      </c>
      <c r="L391">
        <f>IFERROR(IF(K391&lt;=90,"ATIVO",IF(K391&lt;=365,"MORNO","DORMENTE")),"")</f>
        <v/>
      </c>
    </row>
    <row r="392">
      <c r="D392" s="6" t="n"/>
      <c r="E392" s="6" t="n"/>
      <c r="G392" s="7" t="n"/>
      <c r="J392" s="7">
        <f>IFERROR(G392/F392,"")</f>
        <v/>
      </c>
      <c r="K392">
        <f>IFERROR(TODAY()-E392,"")</f>
        <v/>
      </c>
      <c r="L392">
        <f>IFERROR(IF(K392&lt;=90,"ATIVO",IF(K392&lt;=365,"MORNO","DORMENTE")),"")</f>
        <v/>
      </c>
    </row>
    <row r="393">
      <c r="D393" s="6" t="n"/>
      <c r="E393" s="6" t="n"/>
      <c r="G393" s="7" t="n"/>
      <c r="J393" s="7">
        <f>IFERROR(G393/F393,"")</f>
        <v/>
      </c>
      <c r="K393">
        <f>IFERROR(TODAY()-E393,"")</f>
        <v/>
      </c>
      <c r="L393">
        <f>IFERROR(IF(K393&lt;=90,"ATIVO",IF(K393&lt;=365,"MORNO","DORMENTE")),"")</f>
        <v/>
      </c>
    </row>
    <row r="394">
      <c r="D394" s="6" t="n"/>
      <c r="E394" s="6" t="n"/>
      <c r="G394" s="7" t="n"/>
      <c r="J394" s="7">
        <f>IFERROR(G394/F394,"")</f>
        <v/>
      </c>
      <c r="K394">
        <f>IFERROR(TODAY()-E394,"")</f>
        <v/>
      </c>
      <c r="L394">
        <f>IFERROR(IF(K394&lt;=90,"ATIVO",IF(K394&lt;=365,"MORNO","DORMENTE")),"")</f>
        <v/>
      </c>
    </row>
    <row r="395">
      <c r="D395" s="6" t="n"/>
      <c r="E395" s="6" t="n"/>
      <c r="G395" s="7" t="n"/>
      <c r="J395" s="7">
        <f>IFERROR(G395/F395,"")</f>
        <v/>
      </c>
      <c r="K395">
        <f>IFERROR(TODAY()-E395,"")</f>
        <v/>
      </c>
      <c r="L395">
        <f>IFERROR(IF(K395&lt;=90,"ATIVO",IF(K395&lt;=365,"MORNO","DORMENTE")),"")</f>
        <v/>
      </c>
    </row>
    <row r="396">
      <c r="D396" s="6" t="n"/>
      <c r="E396" s="6" t="n"/>
      <c r="G396" s="7" t="n"/>
      <c r="J396" s="7">
        <f>IFERROR(G396/F396,"")</f>
        <v/>
      </c>
      <c r="K396">
        <f>IFERROR(TODAY()-E396,"")</f>
        <v/>
      </c>
      <c r="L396">
        <f>IFERROR(IF(K396&lt;=90,"ATIVO",IF(K396&lt;=365,"MORNO","DORMENTE")),"")</f>
        <v/>
      </c>
    </row>
    <row r="397">
      <c r="D397" s="6" t="n"/>
      <c r="E397" s="6" t="n"/>
      <c r="G397" s="7" t="n"/>
      <c r="J397" s="7">
        <f>IFERROR(G397/F397,"")</f>
        <v/>
      </c>
      <c r="K397">
        <f>IFERROR(TODAY()-E397,"")</f>
        <v/>
      </c>
      <c r="L397">
        <f>IFERROR(IF(K397&lt;=90,"ATIVO",IF(K397&lt;=365,"MORNO","DORMENTE")),"")</f>
        <v/>
      </c>
    </row>
    <row r="398">
      <c r="D398" s="6" t="n"/>
      <c r="E398" s="6" t="n"/>
      <c r="G398" s="7" t="n"/>
      <c r="J398" s="7">
        <f>IFERROR(G398/F398,"")</f>
        <v/>
      </c>
      <c r="K398">
        <f>IFERROR(TODAY()-E398,"")</f>
        <v/>
      </c>
      <c r="L398">
        <f>IFERROR(IF(K398&lt;=90,"ATIVO",IF(K398&lt;=365,"MORNO","DORMENTE")),"")</f>
        <v/>
      </c>
    </row>
    <row r="399">
      <c r="D399" s="6" t="n"/>
      <c r="E399" s="6" t="n"/>
      <c r="G399" s="7" t="n"/>
      <c r="J399" s="7">
        <f>IFERROR(G399/F399,"")</f>
        <v/>
      </c>
      <c r="K399">
        <f>IFERROR(TODAY()-E399,"")</f>
        <v/>
      </c>
      <c r="L399">
        <f>IFERROR(IF(K399&lt;=90,"ATIVO",IF(K399&lt;=365,"MORNO","DORMENTE")),"")</f>
        <v/>
      </c>
    </row>
    <row r="400">
      <c r="D400" s="6" t="n"/>
      <c r="E400" s="6" t="n"/>
      <c r="G400" s="7" t="n"/>
      <c r="J400" s="7">
        <f>IFERROR(G400/F400,"")</f>
        <v/>
      </c>
      <c r="K400">
        <f>IFERROR(TODAY()-E400,"")</f>
        <v/>
      </c>
      <c r="L400">
        <f>IFERROR(IF(K400&lt;=90,"ATIVO",IF(K400&lt;=365,"MORNO","DORMENTE")),"")</f>
        <v/>
      </c>
    </row>
    <row r="401">
      <c r="D401" s="6" t="n"/>
      <c r="E401" s="6" t="n"/>
      <c r="G401" s="7" t="n"/>
      <c r="J401" s="7">
        <f>IFERROR(G401/F401,"")</f>
        <v/>
      </c>
      <c r="K401">
        <f>IFERROR(TODAY()-E401,"")</f>
        <v/>
      </c>
      <c r="L401">
        <f>IFERROR(IF(K401&lt;=90,"ATIVO",IF(K401&lt;=365,"MORNO","DORMENTE")),"")</f>
        <v/>
      </c>
    </row>
    <row r="402">
      <c r="D402" s="6" t="n"/>
      <c r="E402" s="6" t="n"/>
      <c r="G402" s="7" t="n"/>
      <c r="J402" s="7">
        <f>IFERROR(G402/F402,"")</f>
        <v/>
      </c>
      <c r="K402">
        <f>IFERROR(TODAY()-E402,"")</f>
        <v/>
      </c>
      <c r="L402">
        <f>IFERROR(IF(K402&lt;=90,"ATIVO",IF(K402&lt;=365,"MORNO","DORMENTE")),"")</f>
        <v/>
      </c>
    </row>
    <row r="403">
      <c r="D403" s="6" t="n"/>
      <c r="E403" s="6" t="n"/>
      <c r="G403" s="7" t="n"/>
      <c r="J403" s="7">
        <f>IFERROR(G403/F403,"")</f>
        <v/>
      </c>
      <c r="K403">
        <f>IFERROR(TODAY()-E403,"")</f>
        <v/>
      </c>
      <c r="L403">
        <f>IFERROR(IF(K403&lt;=90,"ATIVO",IF(K403&lt;=365,"MORNO","DORMENTE")),"")</f>
        <v/>
      </c>
    </row>
    <row r="404">
      <c r="D404" s="6" t="n"/>
      <c r="E404" s="6" t="n"/>
      <c r="G404" s="7" t="n"/>
      <c r="J404" s="7">
        <f>IFERROR(G404/F404,"")</f>
        <v/>
      </c>
      <c r="K404">
        <f>IFERROR(TODAY()-E404,"")</f>
        <v/>
      </c>
      <c r="L404">
        <f>IFERROR(IF(K404&lt;=90,"ATIVO",IF(K404&lt;=365,"MORNO","DORMENTE")),"")</f>
        <v/>
      </c>
    </row>
    <row r="405">
      <c r="D405" s="6" t="n"/>
      <c r="E405" s="6" t="n"/>
      <c r="G405" s="7" t="n"/>
      <c r="J405" s="7">
        <f>IFERROR(G405/F405,"")</f>
        <v/>
      </c>
      <c r="K405">
        <f>IFERROR(TODAY()-E405,"")</f>
        <v/>
      </c>
      <c r="L405">
        <f>IFERROR(IF(K405&lt;=90,"ATIVO",IF(K405&lt;=365,"MORNO","DORMENTE")),"")</f>
        <v/>
      </c>
    </row>
    <row r="406">
      <c r="D406" s="6" t="n"/>
      <c r="E406" s="6" t="n"/>
      <c r="G406" s="7" t="n"/>
      <c r="J406" s="7">
        <f>IFERROR(G406/F406,"")</f>
        <v/>
      </c>
      <c r="K406">
        <f>IFERROR(TODAY()-E406,"")</f>
        <v/>
      </c>
      <c r="L406">
        <f>IFERROR(IF(K406&lt;=90,"ATIVO",IF(K406&lt;=365,"MORNO","DORMENTE")),"")</f>
        <v/>
      </c>
    </row>
    <row r="407">
      <c r="D407" s="6" t="n"/>
      <c r="E407" s="6" t="n"/>
      <c r="G407" s="7" t="n"/>
      <c r="J407" s="7">
        <f>IFERROR(G407/F407,"")</f>
        <v/>
      </c>
      <c r="K407">
        <f>IFERROR(TODAY()-E407,"")</f>
        <v/>
      </c>
      <c r="L407">
        <f>IFERROR(IF(K407&lt;=90,"ATIVO",IF(K407&lt;=365,"MORNO","DORMENTE")),"")</f>
        <v/>
      </c>
    </row>
    <row r="408">
      <c r="D408" s="6" t="n"/>
      <c r="E408" s="6" t="n"/>
      <c r="G408" s="7" t="n"/>
      <c r="J408" s="7">
        <f>IFERROR(G408/F408,"")</f>
        <v/>
      </c>
      <c r="K408">
        <f>IFERROR(TODAY()-E408,"")</f>
        <v/>
      </c>
      <c r="L408">
        <f>IFERROR(IF(K408&lt;=90,"ATIVO",IF(K408&lt;=365,"MORNO","DORMENTE")),"")</f>
        <v/>
      </c>
    </row>
    <row r="409">
      <c r="D409" s="6" t="n"/>
      <c r="E409" s="6" t="n"/>
      <c r="G409" s="7" t="n"/>
      <c r="J409" s="7">
        <f>IFERROR(G409/F409,"")</f>
        <v/>
      </c>
      <c r="K409">
        <f>IFERROR(TODAY()-E409,"")</f>
        <v/>
      </c>
      <c r="L409">
        <f>IFERROR(IF(K409&lt;=90,"ATIVO",IF(K409&lt;=365,"MORNO","DORMENTE")),"")</f>
        <v/>
      </c>
    </row>
    <row r="410">
      <c r="D410" s="6" t="n"/>
      <c r="E410" s="6" t="n"/>
      <c r="G410" s="7" t="n"/>
      <c r="J410" s="7">
        <f>IFERROR(G410/F410,"")</f>
        <v/>
      </c>
      <c r="K410">
        <f>IFERROR(TODAY()-E410,"")</f>
        <v/>
      </c>
      <c r="L410">
        <f>IFERROR(IF(K410&lt;=90,"ATIVO",IF(K410&lt;=365,"MORNO","DORMENTE")),"")</f>
        <v/>
      </c>
    </row>
    <row r="411">
      <c r="D411" s="6" t="n"/>
      <c r="E411" s="6" t="n"/>
      <c r="G411" s="7" t="n"/>
      <c r="J411" s="7">
        <f>IFERROR(G411/F411,"")</f>
        <v/>
      </c>
      <c r="K411">
        <f>IFERROR(TODAY()-E411,"")</f>
        <v/>
      </c>
      <c r="L411">
        <f>IFERROR(IF(K411&lt;=90,"ATIVO",IF(K411&lt;=365,"MORNO","DORMENTE")),"")</f>
        <v/>
      </c>
    </row>
    <row r="412">
      <c r="D412" s="6" t="n"/>
      <c r="E412" s="6" t="n"/>
      <c r="G412" s="7" t="n"/>
      <c r="J412" s="7">
        <f>IFERROR(G412/F412,"")</f>
        <v/>
      </c>
      <c r="K412">
        <f>IFERROR(TODAY()-E412,"")</f>
        <v/>
      </c>
      <c r="L412">
        <f>IFERROR(IF(K412&lt;=90,"ATIVO",IF(K412&lt;=365,"MORNO","DORMENTE")),"")</f>
        <v/>
      </c>
    </row>
    <row r="413">
      <c r="D413" s="6" t="n"/>
      <c r="E413" s="6" t="n"/>
      <c r="G413" s="7" t="n"/>
      <c r="J413" s="7">
        <f>IFERROR(G413/F413,"")</f>
        <v/>
      </c>
      <c r="K413">
        <f>IFERROR(TODAY()-E413,"")</f>
        <v/>
      </c>
      <c r="L413">
        <f>IFERROR(IF(K413&lt;=90,"ATIVO",IF(K413&lt;=365,"MORNO","DORMENTE")),"")</f>
        <v/>
      </c>
    </row>
    <row r="414">
      <c r="D414" s="6" t="n"/>
      <c r="E414" s="6" t="n"/>
      <c r="G414" s="7" t="n"/>
      <c r="J414" s="7">
        <f>IFERROR(G414/F414,"")</f>
        <v/>
      </c>
      <c r="K414">
        <f>IFERROR(TODAY()-E414,"")</f>
        <v/>
      </c>
      <c r="L414">
        <f>IFERROR(IF(K414&lt;=90,"ATIVO",IF(K414&lt;=365,"MORNO","DORMENTE")),"")</f>
        <v/>
      </c>
    </row>
    <row r="415">
      <c r="D415" s="6" t="n"/>
      <c r="E415" s="6" t="n"/>
      <c r="G415" s="7" t="n"/>
      <c r="J415" s="7">
        <f>IFERROR(G415/F415,"")</f>
        <v/>
      </c>
      <c r="K415">
        <f>IFERROR(TODAY()-E415,"")</f>
        <v/>
      </c>
      <c r="L415">
        <f>IFERROR(IF(K415&lt;=90,"ATIVO",IF(K415&lt;=365,"MORNO","DORMENTE")),"")</f>
        <v/>
      </c>
    </row>
    <row r="416">
      <c r="D416" s="6" t="n"/>
      <c r="E416" s="6" t="n"/>
      <c r="G416" s="7" t="n"/>
      <c r="J416" s="7">
        <f>IFERROR(G416/F416,"")</f>
        <v/>
      </c>
      <c r="K416">
        <f>IFERROR(TODAY()-E416,"")</f>
        <v/>
      </c>
      <c r="L416">
        <f>IFERROR(IF(K416&lt;=90,"ATIVO",IF(K416&lt;=365,"MORNO","DORMENTE")),"")</f>
        <v/>
      </c>
    </row>
    <row r="417">
      <c r="D417" s="6" t="n"/>
      <c r="E417" s="6" t="n"/>
      <c r="G417" s="7" t="n"/>
      <c r="J417" s="7">
        <f>IFERROR(G417/F417,"")</f>
        <v/>
      </c>
      <c r="K417">
        <f>IFERROR(TODAY()-E417,"")</f>
        <v/>
      </c>
      <c r="L417">
        <f>IFERROR(IF(K417&lt;=90,"ATIVO",IF(K417&lt;=365,"MORNO","DORMENTE")),"")</f>
        <v/>
      </c>
    </row>
    <row r="418">
      <c r="D418" s="6" t="n"/>
      <c r="E418" s="6" t="n"/>
      <c r="G418" s="7" t="n"/>
      <c r="J418" s="7">
        <f>IFERROR(G418/F418,"")</f>
        <v/>
      </c>
      <c r="K418">
        <f>IFERROR(TODAY()-E418,"")</f>
        <v/>
      </c>
      <c r="L418">
        <f>IFERROR(IF(K418&lt;=90,"ATIVO",IF(K418&lt;=365,"MORNO","DORMENTE")),"")</f>
        <v/>
      </c>
    </row>
    <row r="419">
      <c r="D419" s="6" t="n"/>
      <c r="E419" s="6" t="n"/>
      <c r="G419" s="7" t="n"/>
      <c r="J419" s="7">
        <f>IFERROR(G419/F419,"")</f>
        <v/>
      </c>
      <c r="K419">
        <f>IFERROR(TODAY()-E419,"")</f>
        <v/>
      </c>
      <c r="L419">
        <f>IFERROR(IF(K419&lt;=90,"ATIVO",IF(K419&lt;=365,"MORNO","DORMENTE")),"")</f>
        <v/>
      </c>
    </row>
    <row r="420">
      <c r="D420" s="6" t="n"/>
      <c r="E420" s="6" t="n"/>
      <c r="G420" s="7" t="n"/>
      <c r="J420" s="7">
        <f>IFERROR(G420/F420,"")</f>
        <v/>
      </c>
      <c r="K420">
        <f>IFERROR(TODAY()-E420,"")</f>
        <v/>
      </c>
      <c r="L420">
        <f>IFERROR(IF(K420&lt;=90,"ATIVO",IF(K420&lt;=365,"MORNO","DORMENTE")),"")</f>
        <v/>
      </c>
    </row>
    <row r="421">
      <c r="D421" s="6" t="n"/>
      <c r="E421" s="6" t="n"/>
      <c r="G421" s="7" t="n"/>
      <c r="J421" s="7">
        <f>IFERROR(G421/F421,"")</f>
        <v/>
      </c>
      <c r="K421">
        <f>IFERROR(TODAY()-E421,"")</f>
        <v/>
      </c>
      <c r="L421">
        <f>IFERROR(IF(K421&lt;=90,"ATIVO",IF(K421&lt;=365,"MORNO","DORMENTE")),"")</f>
        <v/>
      </c>
    </row>
    <row r="422">
      <c r="D422" s="6" t="n"/>
      <c r="E422" s="6" t="n"/>
      <c r="G422" s="7" t="n"/>
      <c r="J422" s="7">
        <f>IFERROR(G422/F422,"")</f>
        <v/>
      </c>
      <c r="K422">
        <f>IFERROR(TODAY()-E422,"")</f>
        <v/>
      </c>
      <c r="L422">
        <f>IFERROR(IF(K422&lt;=90,"ATIVO",IF(K422&lt;=365,"MORNO","DORMENTE")),"")</f>
        <v/>
      </c>
    </row>
    <row r="423">
      <c r="D423" s="6" t="n"/>
      <c r="E423" s="6" t="n"/>
      <c r="G423" s="7" t="n"/>
      <c r="J423" s="7">
        <f>IFERROR(G423/F423,"")</f>
        <v/>
      </c>
      <c r="K423">
        <f>IFERROR(TODAY()-E423,"")</f>
        <v/>
      </c>
      <c r="L423">
        <f>IFERROR(IF(K423&lt;=90,"ATIVO",IF(K423&lt;=365,"MORNO","DORMENTE")),"")</f>
        <v/>
      </c>
    </row>
    <row r="424">
      <c r="D424" s="6" t="n"/>
      <c r="E424" s="6" t="n"/>
      <c r="G424" s="7" t="n"/>
      <c r="J424" s="7">
        <f>IFERROR(G424/F424,"")</f>
        <v/>
      </c>
      <c r="K424">
        <f>IFERROR(TODAY()-E424,"")</f>
        <v/>
      </c>
      <c r="L424">
        <f>IFERROR(IF(K424&lt;=90,"ATIVO",IF(K424&lt;=365,"MORNO","DORMENTE")),"")</f>
        <v/>
      </c>
    </row>
    <row r="425">
      <c r="D425" s="6" t="n"/>
      <c r="E425" s="6" t="n"/>
      <c r="G425" s="7" t="n"/>
      <c r="J425" s="7">
        <f>IFERROR(G425/F425,"")</f>
        <v/>
      </c>
      <c r="K425">
        <f>IFERROR(TODAY()-E425,"")</f>
        <v/>
      </c>
      <c r="L425">
        <f>IFERROR(IF(K425&lt;=90,"ATIVO",IF(K425&lt;=365,"MORNO","DORMENTE")),"")</f>
        <v/>
      </c>
    </row>
    <row r="426">
      <c r="D426" s="6" t="n"/>
      <c r="E426" s="6" t="n"/>
      <c r="G426" s="7" t="n"/>
      <c r="J426" s="7">
        <f>IFERROR(G426/F426,"")</f>
        <v/>
      </c>
      <c r="K426">
        <f>IFERROR(TODAY()-E426,"")</f>
        <v/>
      </c>
      <c r="L426">
        <f>IFERROR(IF(K426&lt;=90,"ATIVO",IF(K426&lt;=365,"MORNO","DORMENTE")),"")</f>
        <v/>
      </c>
    </row>
    <row r="427">
      <c r="D427" s="6" t="n"/>
      <c r="E427" s="6" t="n"/>
      <c r="G427" s="7" t="n"/>
      <c r="J427" s="7">
        <f>IFERROR(G427/F427,"")</f>
        <v/>
      </c>
      <c r="K427">
        <f>IFERROR(TODAY()-E427,"")</f>
        <v/>
      </c>
      <c r="L427">
        <f>IFERROR(IF(K427&lt;=90,"ATIVO",IF(K427&lt;=365,"MORNO","DORMENTE")),"")</f>
        <v/>
      </c>
    </row>
    <row r="428">
      <c r="D428" s="6" t="n"/>
      <c r="E428" s="6" t="n"/>
      <c r="G428" s="7" t="n"/>
      <c r="J428" s="7">
        <f>IFERROR(G428/F428,"")</f>
        <v/>
      </c>
      <c r="K428">
        <f>IFERROR(TODAY()-E428,"")</f>
        <v/>
      </c>
      <c r="L428">
        <f>IFERROR(IF(K428&lt;=90,"ATIVO",IF(K428&lt;=365,"MORNO","DORMENTE")),"")</f>
        <v/>
      </c>
    </row>
    <row r="429">
      <c r="D429" s="6" t="n"/>
      <c r="E429" s="6" t="n"/>
      <c r="G429" s="7" t="n"/>
      <c r="J429" s="7">
        <f>IFERROR(G429/F429,"")</f>
        <v/>
      </c>
      <c r="K429">
        <f>IFERROR(TODAY()-E429,"")</f>
        <v/>
      </c>
      <c r="L429">
        <f>IFERROR(IF(K429&lt;=90,"ATIVO",IF(K429&lt;=365,"MORNO","DORMENTE")),"")</f>
        <v/>
      </c>
    </row>
    <row r="430">
      <c r="D430" s="6" t="n"/>
      <c r="E430" s="6" t="n"/>
      <c r="G430" s="7" t="n"/>
      <c r="J430" s="7">
        <f>IFERROR(G430/F430,"")</f>
        <v/>
      </c>
      <c r="K430">
        <f>IFERROR(TODAY()-E430,"")</f>
        <v/>
      </c>
      <c r="L430">
        <f>IFERROR(IF(K430&lt;=90,"ATIVO",IF(K430&lt;=365,"MORNO","DORMENTE")),"")</f>
        <v/>
      </c>
    </row>
    <row r="431">
      <c r="D431" s="6" t="n"/>
      <c r="E431" s="6" t="n"/>
      <c r="G431" s="7" t="n"/>
      <c r="J431" s="7">
        <f>IFERROR(G431/F431,"")</f>
        <v/>
      </c>
      <c r="K431">
        <f>IFERROR(TODAY()-E431,"")</f>
        <v/>
      </c>
      <c r="L431">
        <f>IFERROR(IF(K431&lt;=90,"ATIVO",IF(K431&lt;=365,"MORNO","DORMENTE")),"")</f>
        <v/>
      </c>
    </row>
    <row r="432">
      <c r="D432" s="6" t="n"/>
      <c r="E432" s="6" t="n"/>
      <c r="G432" s="7" t="n"/>
      <c r="J432" s="7">
        <f>IFERROR(G432/F432,"")</f>
        <v/>
      </c>
      <c r="K432">
        <f>IFERROR(TODAY()-E432,"")</f>
        <v/>
      </c>
      <c r="L432">
        <f>IFERROR(IF(K432&lt;=90,"ATIVO",IF(K432&lt;=365,"MORNO","DORMENTE")),"")</f>
        <v/>
      </c>
    </row>
    <row r="433">
      <c r="D433" s="6" t="n"/>
      <c r="E433" s="6" t="n"/>
      <c r="G433" s="7" t="n"/>
      <c r="J433" s="7">
        <f>IFERROR(G433/F433,"")</f>
        <v/>
      </c>
      <c r="K433">
        <f>IFERROR(TODAY()-E433,"")</f>
        <v/>
      </c>
      <c r="L433">
        <f>IFERROR(IF(K433&lt;=90,"ATIVO",IF(K433&lt;=365,"MORNO","DORMENTE")),"")</f>
        <v/>
      </c>
    </row>
    <row r="434">
      <c r="D434" s="6" t="n"/>
      <c r="E434" s="6" t="n"/>
      <c r="G434" s="7" t="n"/>
      <c r="J434" s="7">
        <f>IFERROR(G434/F434,"")</f>
        <v/>
      </c>
      <c r="K434">
        <f>IFERROR(TODAY()-E434,"")</f>
        <v/>
      </c>
      <c r="L434">
        <f>IFERROR(IF(K434&lt;=90,"ATIVO",IF(K434&lt;=365,"MORNO","DORMENTE")),"")</f>
        <v/>
      </c>
    </row>
    <row r="435">
      <c r="D435" s="6" t="n"/>
      <c r="E435" s="6" t="n"/>
      <c r="G435" s="7" t="n"/>
      <c r="J435" s="7">
        <f>IFERROR(G435/F435,"")</f>
        <v/>
      </c>
      <c r="K435">
        <f>IFERROR(TODAY()-E435,"")</f>
        <v/>
      </c>
      <c r="L435">
        <f>IFERROR(IF(K435&lt;=90,"ATIVO",IF(K435&lt;=365,"MORNO","DORMENTE")),"")</f>
        <v/>
      </c>
    </row>
    <row r="436">
      <c r="D436" s="6" t="n"/>
      <c r="E436" s="6" t="n"/>
      <c r="G436" s="7" t="n"/>
      <c r="J436" s="7">
        <f>IFERROR(G436/F436,"")</f>
        <v/>
      </c>
      <c r="K436">
        <f>IFERROR(TODAY()-E436,"")</f>
        <v/>
      </c>
      <c r="L436">
        <f>IFERROR(IF(K436&lt;=90,"ATIVO",IF(K436&lt;=365,"MORNO","DORMENTE")),"")</f>
        <v/>
      </c>
    </row>
    <row r="437">
      <c r="D437" s="6" t="n"/>
      <c r="E437" s="6" t="n"/>
      <c r="G437" s="7" t="n"/>
      <c r="J437" s="7">
        <f>IFERROR(G437/F437,"")</f>
        <v/>
      </c>
      <c r="K437">
        <f>IFERROR(TODAY()-E437,"")</f>
        <v/>
      </c>
      <c r="L437">
        <f>IFERROR(IF(K437&lt;=90,"ATIVO",IF(K437&lt;=365,"MORNO","DORMENTE")),"")</f>
        <v/>
      </c>
    </row>
    <row r="438">
      <c r="D438" s="6" t="n"/>
      <c r="E438" s="6" t="n"/>
      <c r="G438" s="7" t="n"/>
      <c r="J438" s="7">
        <f>IFERROR(G438/F438,"")</f>
        <v/>
      </c>
      <c r="K438">
        <f>IFERROR(TODAY()-E438,"")</f>
        <v/>
      </c>
      <c r="L438">
        <f>IFERROR(IF(K438&lt;=90,"ATIVO",IF(K438&lt;=365,"MORNO","DORMENTE")),"")</f>
        <v/>
      </c>
    </row>
    <row r="439">
      <c r="D439" s="6" t="n"/>
      <c r="E439" s="6" t="n"/>
      <c r="G439" s="7" t="n"/>
      <c r="J439" s="7">
        <f>IFERROR(G439/F439,"")</f>
        <v/>
      </c>
      <c r="K439">
        <f>IFERROR(TODAY()-E439,"")</f>
        <v/>
      </c>
      <c r="L439">
        <f>IFERROR(IF(K439&lt;=90,"ATIVO",IF(K439&lt;=365,"MORNO","DORMENTE")),"")</f>
        <v/>
      </c>
    </row>
    <row r="440">
      <c r="D440" s="6" t="n"/>
      <c r="E440" s="6" t="n"/>
      <c r="G440" s="7" t="n"/>
      <c r="J440" s="7">
        <f>IFERROR(G440/F440,"")</f>
        <v/>
      </c>
      <c r="K440">
        <f>IFERROR(TODAY()-E440,"")</f>
        <v/>
      </c>
      <c r="L440">
        <f>IFERROR(IF(K440&lt;=90,"ATIVO",IF(K440&lt;=365,"MORNO","DORMENTE")),"")</f>
        <v/>
      </c>
    </row>
    <row r="441">
      <c r="D441" s="6" t="n"/>
      <c r="E441" s="6" t="n"/>
      <c r="G441" s="7" t="n"/>
      <c r="J441" s="7">
        <f>IFERROR(G441/F441,"")</f>
        <v/>
      </c>
      <c r="K441">
        <f>IFERROR(TODAY()-E441,"")</f>
        <v/>
      </c>
      <c r="L441">
        <f>IFERROR(IF(K441&lt;=90,"ATIVO",IF(K441&lt;=365,"MORNO","DORMENTE")),"")</f>
        <v/>
      </c>
    </row>
    <row r="442">
      <c r="D442" s="6" t="n"/>
      <c r="E442" s="6" t="n"/>
      <c r="G442" s="7" t="n"/>
      <c r="J442" s="7">
        <f>IFERROR(G442/F442,"")</f>
        <v/>
      </c>
      <c r="K442">
        <f>IFERROR(TODAY()-E442,"")</f>
        <v/>
      </c>
      <c r="L442">
        <f>IFERROR(IF(K442&lt;=90,"ATIVO",IF(K442&lt;=365,"MORNO","DORMENTE")),"")</f>
        <v/>
      </c>
    </row>
    <row r="443">
      <c r="D443" s="6" t="n"/>
      <c r="E443" s="6" t="n"/>
      <c r="G443" s="7" t="n"/>
      <c r="J443" s="7">
        <f>IFERROR(G443/F443,"")</f>
        <v/>
      </c>
      <c r="K443">
        <f>IFERROR(TODAY()-E443,"")</f>
        <v/>
      </c>
      <c r="L443">
        <f>IFERROR(IF(K443&lt;=90,"ATIVO",IF(K443&lt;=365,"MORNO","DORMENTE")),"")</f>
        <v/>
      </c>
    </row>
    <row r="444">
      <c r="D444" s="6" t="n"/>
      <c r="E444" s="6" t="n"/>
      <c r="G444" s="7" t="n"/>
      <c r="J444" s="7">
        <f>IFERROR(G444/F444,"")</f>
        <v/>
      </c>
      <c r="K444">
        <f>IFERROR(TODAY()-E444,"")</f>
        <v/>
      </c>
      <c r="L444">
        <f>IFERROR(IF(K444&lt;=90,"ATIVO",IF(K444&lt;=365,"MORNO","DORMENTE")),"")</f>
        <v/>
      </c>
    </row>
    <row r="445">
      <c r="D445" s="6" t="n"/>
      <c r="E445" s="6" t="n"/>
      <c r="G445" s="7" t="n"/>
      <c r="J445" s="7">
        <f>IFERROR(G445/F445,"")</f>
        <v/>
      </c>
      <c r="K445">
        <f>IFERROR(TODAY()-E445,"")</f>
        <v/>
      </c>
      <c r="L445">
        <f>IFERROR(IF(K445&lt;=90,"ATIVO",IF(K445&lt;=365,"MORNO","DORMENTE")),"")</f>
        <v/>
      </c>
    </row>
    <row r="446">
      <c r="D446" s="6" t="n"/>
      <c r="E446" s="6" t="n"/>
      <c r="G446" s="7" t="n"/>
      <c r="J446" s="7">
        <f>IFERROR(G446/F446,"")</f>
        <v/>
      </c>
      <c r="K446">
        <f>IFERROR(TODAY()-E446,"")</f>
        <v/>
      </c>
      <c r="L446">
        <f>IFERROR(IF(K446&lt;=90,"ATIVO",IF(K446&lt;=365,"MORNO","DORMENTE")),"")</f>
        <v/>
      </c>
    </row>
    <row r="447">
      <c r="D447" s="6" t="n"/>
      <c r="E447" s="6" t="n"/>
      <c r="G447" s="7" t="n"/>
      <c r="J447" s="7">
        <f>IFERROR(G447/F447,"")</f>
        <v/>
      </c>
      <c r="K447">
        <f>IFERROR(TODAY()-E447,"")</f>
        <v/>
      </c>
      <c r="L447">
        <f>IFERROR(IF(K447&lt;=90,"ATIVO",IF(K447&lt;=365,"MORNO","DORMENTE")),"")</f>
        <v/>
      </c>
    </row>
    <row r="448">
      <c r="D448" s="6" t="n"/>
      <c r="E448" s="6" t="n"/>
      <c r="G448" s="7" t="n"/>
      <c r="J448" s="7">
        <f>IFERROR(G448/F448,"")</f>
        <v/>
      </c>
      <c r="K448">
        <f>IFERROR(TODAY()-E448,"")</f>
        <v/>
      </c>
      <c r="L448">
        <f>IFERROR(IF(K448&lt;=90,"ATIVO",IF(K448&lt;=365,"MORNO","DORMENTE")),"")</f>
        <v/>
      </c>
    </row>
    <row r="449">
      <c r="D449" s="6" t="n"/>
      <c r="E449" s="6" t="n"/>
      <c r="G449" s="7" t="n"/>
      <c r="J449" s="7">
        <f>IFERROR(G449/F449,"")</f>
        <v/>
      </c>
      <c r="K449">
        <f>IFERROR(TODAY()-E449,"")</f>
        <v/>
      </c>
      <c r="L449">
        <f>IFERROR(IF(K449&lt;=90,"ATIVO",IF(K449&lt;=365,"MORNO","DORMENTE")),"")</f>
        <v/>
      </c>
    </row>
    <row r="450">
      <c r="D450" s="6" t="n"/>
      <c r="E450" s="6" t="n"/>
      <c r="G450" s="7" t="n"/>
      <c r="J450" s="7">
        <f>IFERROR(G450/F450,"")</f>
        <v/>
      </c>
      <c r="K450">
        <f>IFERROR(TODAY()-E450,"")</f>
        <v/>
      </c>
      <c r="L450">
        <f>IFERROR(IF(K450&lt;=90,"ATIVO",IF(K450&lt;=365,"MORNO","DORMENTE")),"")</f>
        <v/>
      </c>
    </row>
    <row r="451">
      <c r="D451" s="6" t="n"/>
      <c r="E451" s="6" t="n"/>
      <c r="G451" s="7" t="n"/>
      <c r="J451" s="7">
        <f>IFERROR(G451/F451,"")</f>
        <v/>
      </c>
      <c r="K451">
        <f>IFERROR(TODAY()-E451,"")</f>
        <v/>
      </c>
      <c r="L451">
        <f>IFERROR(IF(K451&lt;=90,"ATIVO",IF(K451&lt;=365,"MORNO","DORMENTE")),"")</f>
        <v/>
      </c>
    </row>
    <row r="452">
      <c r="D452" s="6" t="n"/>
      <c r="E452" s="6" t="n"/>
      <c r="G452" s="7" t="n"/>
      <c r="J452" s="7">
        <f>IFERROR(G452/F452,"")</f>
        <v/>
      </c>
      <c r="K452">
        <f>IFERROR(TODAY()-E452,"")</f>
        <v/>
      </c>
      <c r="L452">
        <f>IFERROR(IF(K452&lt;=90,"ATIVO",IF(K452&lt;=365,"MORNO","DORMENTE")),"")</f>
        <v/>
      </c>
    </row>
    <row r="453">
      <c r="D453" s="6" t="n"/>
      <c r="E453" s="6" t="n"/>
      <c r="G453" s="7" t="n"/>
      <c r="J453" s="7">
        <f>IFERROR(G453/F453,"")</f>
        <v/>
      </c>
      <c r="K453">
        <f>IFERROR(TODAY()-E453,"")</f>
        <v/>
      </c>
      <c r="L453">
        <f>IFERROR(IF(K453&lt;=90,"ATIVO",IF(K453&lt;=365,"MORNO","DORMENTE")),"")</f>
        <v/>
      </c>
    </row>
    <row r="454">
      <c r="D454" s="6" t="n"/>
      <c r="E454" s="6" t="n"/>
      <c r="G454" s="7" t="n"/>
      <c r="J454" s="7">
        <f>IFERROR(G454/F454,"")</f>
        <v/>
      </c>
      <c r="K454">
        <f>IFERROR(TODAY()-E454,"")</f>
        <v/>
      </c>
      <c r="L454">
        <f>IFERROR(IF(K454&lt;=90,"ATIVO",IF(K454&lt;=365,"MORNO","DORMENTE")),"")</f>
        <v/>
      </c>
    </row>
    <row r="455">
      <c r="D455" s="6" t="n"/>
      <c r="E455" s="6" t="n"/>
      <c r="G455" s="7" t="n"/>
      <c r="J455" s="7">
        <f>IFERROR(G455/F455,"")</f>
        <v/>
      </c>
      <c r="K455">
        <f>IFERROR(TODAY()-E455,"")</f>
        <v/>
      </c>
      <c r="L455">
        <f>IFERROR(IF(K455&lt;=90,"ATIVO",IF(K455&lt;=365,"MORNO","DORMENTE")),"")</f>
        <v/>
      </c>
    </row>
    <row r="456">
      <c r="D456" s="6" t="n"/>
      <c r="E456" s="6" t="n"/>
      <c r="G456" s="7" t="n"/>
      <c r="J456" s="7">
        <f>IFERROR(G456/F456,"")</f>
        <v/>
      </c>
      <c r="K456">
        <f>IFERROR(TODAY()-E456,"")</f>
        <v/>
      </c>
      <c r="L456">
        <f>IFERROR(IF(K456&lt;=90,"ATIVO",IF(K456&lt;=365,"MORNO","DORMENTE")),"")</f>
        <v/>
      </c>
    </row>
    <row r="457">
      <c r="D457" s="6" t="n"/>
      <c r="E457" s="6" t="n"/>
      <c r="G457" s="7" t="n"/>
      <c r="J457" s="7">
        <f>IFERROR(G457/F457,"")</f>
        <v/>
      </c>
      <c r="K457">
        <f>IFERROR(TODAY()-E457,"")</f>
        <v/>
      </c>
      <c r="L457">
        <f>IFERROR(IF(K457&lt;=90,"ATIVO",IF(K457&lt;=365,"MORNO","DORMENTE")),"")</f>
        <v/>
      </c>
    </row>
    <row r="458">
      <c r="D458" s="6" t="n"/>
      <c r="E458" s="6" t="n"/>
      <c r="G458" s="7" t="n"/>
      <c r="J458" s="7">
        <f>IFERROR(G458/F458,"")</f>
        <v/>
      </c>
      <c r="K458">
        <f>IFERROR(TODAY()-E458,"")</f>
        <v/>
      </c>
      <c r="L458">
        <f>IFERROR(IF(K458&lt;=90,"ATIVO",IF(K458&lt;=365,"MORNO","DORMENTE")),"")</f>
        <v/>
      </c>
    </row>
    <row r="459">
      <c r="D459" s="6" t="n"/>
      <c r="E459" s="6" t="n"/>
      <c r="G459" s="7" t="n"/>
      <c r="J459" s="7">
        <f>IFERROR(G459/F459,"")</f>
        <v/>
      </c>
      <c r="K459">
        <f>IFERROR(TODAY()-E459,"")</f>
        <v/>
      </c>
      <c r="L459">
        <f>IFERROR(IF(K459&lt;=90,"ATIVO",IF(K459&lt;=365,"MORNO","DORMENTE")),"")</f>
        <v/>
      </c>
    </row>
    <row r="460">
      <c r="D460" s="6" t="n"/>
      <c r="E460" s="6" t="n"/>
      <c r="G460" s="7" t="n"/>
      <c r="J460" s="7">
        <f>IFERROR(G460/F460,"")</f>
        <v/>
      </c>
      <c r="K460">
        <f>IFERROR(TODAY()-E460,"")</f>
        <v/>
      </c>
      <c r="L460">
        <f>IFERROR(IF(K460&lt;=90,"ATIVO",IF(K460&lt;=365,"MORNO","DORMENTE")),"")</f>
        <v/>
      </c>
    </row>
    <row r="461">
      <c r="D461" s="6" t="n"/>
      <c r="E461" s="6" t="n"/>
      <c r="G461" s="7" t="n"/>
      <c r="J461" s="7">
        <f>IFERROR(G461/F461,"")</f>
        <v/>
      </c>
      <c r="K461">
        <f>IFERROR(TODAY()-E461,"")</f>
        <v/>
      </c>
      <c r="L461">
        <f>IFERROR(IF(K461&lt;=90,"ATIVO",IF(K461&lt;=365,"MORNO","DORMENTE")),"")</f>
        <v/>
      </c>
    </row>
    <row r="462">
      <c r="D462" s="6" t="n"/>
      <c r="E462" s="6" t="n"/>
      <c r="G462" s="7" t="n"/>
      <c r="J462" s="7">
        <f>IFERROR(G462/F462,"")</f>
        <v/>
      </c>
      <c r="K462">
        <f>IFERROR(TODAY()-E462,"")</f>
        <v/>
      </c>
      <c r="L462">
        <f>IFERROR(IF(K462&lt;=90,"ATIVO",IF(K462&lt;=365,"MORNO","DORMENTE")),"")</f>
        <v/>
      </c>
    </row>
    <row r="463">
      <c r="D463" s="6" t="n"/>
      <c r="E463" s="6" t="n"/>
      <c r="G463" s="7" t="n"/>
      <c r="J463" s="7">
        <f>IFERROR(G463/F463,"")</f>
        <v/>
      </c>
      <c r="K463">
        <f>IFERROR(TODAY()-E463,"")</f>
        <v/>
      </c>
      <c r="L463">
        <f>IFERROR(IF(K463&lt;=90,"ATIVO",IF(K463&lt;=365,"MORNO","DORMENTE")),"")</f>
        <v/>
      </c>
    </row>
    <row r="464">
      <c r="D464" s="6" t="n"/>
      <c r="E464" s="6" t="n"/>
      <c r="G464" s="7" t="n"/>
      <c r="J464" s="7">
        <f>IFERROR(G464/F464,"")</f>
        <v/>
      </c>
      <c r="K464">
        <f>IFERROR(TODAY()-E464,"")</f>
        <v/>
      </c>
      <c r="L464">
        <f>IFERROR(IF(K464&lt;=90,"ATIVO",IF(K464&lt;=365,"MORNO","DORMENTE")),"")</f>
        <v/>
      </c>
    </row>
    <row r="465">
      <c r="D465" s="6" t="n"/>
      <c r="E465" s="6" t="n"/>
      <c r="G465" s="7" t="n"/>
      <c r="J465" s="7">
        <f>IFERROR(G465/F465,"")</f>
        <v/>
      </c>
      <c r="K465">
        <f>IFERROR(TODAY()-E465,"")</f>
        <v/>
      </c>
      <c r="L465">
        <f>IFERROR(IF(K465&lt;=90,"ATIVO",IF(K465&lt;=365,"MORNO","DORMENTE")),"")</f>
        <v/>
      </c>
    </row>
    <row r="466">
      <c r="D466" s="6" t="n"/>
      <c r="E466" s="6" t="n"/>
      <c r="G466" s="7" t="n"/>
      <c r="J466" s="7">
        <f>IFERROR(G466/F466,"")</f>
        <v/>
      </c>
      <c r="K466">
        <f>IFERROR(TODAY()-E466,"")</f>
        <v/>
      </c>
      <c r="L466">
        <f>IFERROR(IF(K466&lt;=90,"ATIVO",IF(K466&lt;=365,"MORNO","DORMENTE")),"")</f>
        <v/>
      </c>
    </row>
    <row r="467">
      <c r="D467" s="6" t="n"/>
      <c r="E467" s="6" t="n"/>
      <c r="G467" s="7" t="n"/>
      <c r="J467" s="7">
        <f>IFERROR(G467/F467,"")</f>
        <v/>
      </c>
      <c r="K467">
        <f>IFERROR(TODAY()-E467,"")</f>
        <v/>
      </c>
      <c r="L467">
        <f>IFERROR(IF(K467&lt;=90,"ATIVO",IF(K467&lt;=365,"MORNO","DORMENTE")),"")</f>
        <v/>
      </c>
    </row>
    <row r="468">
      <c r="D468" s="6" t="n"/>
      <c r="E468" s="6" t="n"/>
      <c r="G468" s="7" t="n"/>
      <c r="J468" s="7">
        <f>IFERROR(G468/F468,"")</f>
        <v/>
      </c>
      <c r="K468">
        <f>IFERROR(TODAY()-E468,"")</f>
        <v/>
      </c>
      <c r="L468">
        <f>IFERROR(IF(K468&lt;=90,"ATIVO",IF(K468&lt;=365,"MORNO","DORMENTE")),"")</f>
        <v/>
      </c>
    </row>
    <row r="469">
      <c r="D469" s="6" t="n"/>
      <c r="E469" s="6" t="n"/>
      <c r="G469" s="7" t="n"/>
      <c r="J469" s="7">
        <f>IFERROR(G469/F469,"")</f>
        <v/>
      </c>
      <c r="K469">
        <f>IFERROR(TODAY()-E469,"")</f>
        <v/>
      </c>
      <c r="L469">
        <f>IFERROR(IF(K469&lt;=90,"ATIVO",IF(K469&lt;=365,"MORNO","DORMENTE")),"")</f>
        <v/>
      </c>
    </row>
    <row r="470">
      <c r="D470" s="6" t="n"/>
      <c r="E470" s="6" t="n"/>
      <c r="G470" s="7" t="n"/>
      <c r="J470" s="7">
        <f>IFERROR(G470/F470,"")</f>
        <v/>
      </c>
      <c r="K470">
        <f>IFERROR(TODAY()-E470,"")</f>
        <v/>
      </c>
      <c r="L470">
        <f>IFERROR(IF(K470&lt;=90,"ATIVO",IF(K470&lt;=365,"MORNO","DORMENTE")),"")</f>
        <v/>
      </c>
    </row>
    <row r="471">
      <c r="D471" s="6" t="n"/>
      <c r="E471" s="6" t="n"/>
      <c r="G471" s="7" t="n"/>
      <c r="J471" s="7">
        <f>IFERROR(G471/F471,"")</f>
        <v/>
      </c>
      <c r="K471">
        <f>IFERROR(TODAY()-E471,"")</f>
        <v/>
      </c>
      <c r="L471">
        <f>IFERROR(IF(K471&lt;=90,"ATIVO",IF(K471&lt;=365,"MORNO","DORMENTE")),"")</f>
        <v/>
      </c>
    </row>
    <row r="472">
      <c r="D472" s="6" t="n"/>
      <c r="E472" s="6" t="n"/>
      <c r="G472" s="7" t="n"/>
      <c r="J472" s="7">
        <f>IFERROR(G472/F472,"")</f>
        <v/>
      </c>
      <c r="K472">
        <f>IFERROR(TODAY()-E472,"")</f>
        <v/>
      </c>
      <c r="L472">
        <f>IFERROR(IF(K472&lt;=90,"ATIVO",IF(K472&lt;=365,"MORNO","DORMENTE")),"")</f>
        <v/>
      </c>
    </row>
    <row r="473">
      <c r="D473" s="6" t="n"/>
      <c r="E473" s="6" t="n"/>
      <c r="G473" s="7" t="n"/>
      <c r="J473" s="7">
        <f>IFERROR(G473/F473,"")</f>
        <v/>
      </c>
      <c r="K473">
        <f>IFERROR(TODAY()-E473,"")</f>
        <v/>
      </c>
      <c r="L473">
        <f>IFERROR(IF(K473&lt;=90,"ATIVO",IF(K473&lt;=365,"MORNO","DORMENTE")),"")</f>
        <v/>
      </c>
    </row>
    <row r="474">
      <c r="D474" s="6" t="n"/>
      <c r="E474" s="6" t="n"/>
      <c r="G474" s="7" t="n"/>
      <c r="J474" s="7">
        <f>IFERROR(G474/F474,"")</f>
        <v/>
      </c>
      <c r="K474">
        <f>IFERROR(TODAY()-E474,"")</f>
        <v/>
      </c>
      <c r="L474">
        <f>IFERROR(IF(K474&lt;=90,"ATIVO",IF(K474&lt;=365,"MORNO","DORMENTE")),"")</f>
        <v/>
      </c>
    </row>
    <row r="475">
      <c r="D475" s="6" t="n"/>
      <c r="E475" s="6" t="n"/>
      <c r="G475" s="7" t="n"/>
      <c r="J475" s="7">
        <f>IFERROR(G475/F475,"")</f>
        <v/>
      </c>
      <c r="K475">
        <f>IFERROR(TODAY()-E475,"")</f>
        <v/>
      </c>
      <c r="L475">
        <f>IFERROR(IF(K475&lt;=90,"ATIVO",IF(K475&lt;=365,"MORNO","DORMENTE")),"")</f>
        <v/>
      </c>
    </row>
    <row r="476">
      <c r="D476" s="6" t="n"/>
      <c r="E476" s="6" t="n"/>
      <c r="G476" s="7" t="n"/>
      <c r="J476" s="7">
        <f>IFERROR(G476/F476,"")</f>
        <v/>
      </c>
      <c r="K476">
        <f>IFERROR(TODAY()-E476,"")</f>
        <v/>
      </c>
      <c r="L476">
        <f>IFERROR(IF(K476&lt;=90,"ATIVO",IF(K476&lt;=365,"MORNO","DORMENTE")),"")</f>
        <v/>
      </c>
    </row>
    <row r="477">
      <c r="D477" s="6" t="n"/>
      <c r="E477" s="6" t="n"/>
      <c r="G477" s="7" t="n"/>
      <c r="J477" s="7">
        <f>IFERROR(G477/F477,"")</f>
        <v/>
      </c>
      <c r="K477">
        <f>IFERROR(TODAY()-E477,"")</f>
        <v/>
      </c>
      <c r="L477">
        <f>IFERROR(IF(K477&lt;=90,"ATIVO",IF(K477&lt;=365,"MORNO","DORMENTE")),"")</f>
        <v/>
      </c>
    </row>
    <row r="478">
      <c r="D478" s="6" t="n"/>
      <c r="E478" s="6" t="n"/>
      <c r="G478" s="7" t="n"/>
      <c r="J478" s="7">
        <f>IFERROR(G478/F478,"")</f>
        <v/>
      </c>
      <c r="K478">
        <f>IFERROR(TODAY()-E478,"")</f>
        <v/>
      </c>
      <c r="L478">
        <f>IFERROR(IF(K478&lt;=90,"ATIVO",IF(K478&lt;=365,"MORNO","DORMENTE")),"")</f>
        <v/>
      </c>
    </row>
    <row r="479">
      <c r="D479" s="6" t="n"/>
      <c r="E479" s="6" t="n"/>
      <c r="G479" s="7" t="n"/>
      <c r="J479" s="7">
        <f>IFERROR(G479/F479,"")</f>
        <v/>
      </c>
      <c r="K479">
        <f>IFERROR(TODAY()-E479,"")</f>
        <v/>
      </c>
      <c r="L479">
        <f>IFERROR(IF(K479&lt;=90,"ATIVO",IF(K479&lt;=365,"MORNO","DORMENTE")),"")</f>
        <v/>
      </c>
    </row>
    <row r="480">
      <c r="D480" s="6" t="n"/>
      <c r="E480" s="6" t="n"/>
      <c r="G480" s="7" t="n"/>
      <c r="J480" s="7">
        <f>IFERROR(G480/F480,"")</f>
        <v/>
      </c>
      <c r="K480">
        <f>IFERROR(TODAY()-E480,"")</f>
        <v/>
      </c>
      <c r="L480">
        <f>IFERROR(IF(K480&lt;=90,"ATIVO",IF(K480&lt;=365,"MORNO","DORMENTE")),"")</f>
        <v/>
      </c>
    </row>
    <row r="481">
      <c r="D481" s="6" t="n"/>
      <c r="E481" s="6" t="n"/>
      <c r="G481" s="7" t="n"/>
      <c r="J481" s="7">
        <f>IFERROR(G481/F481,"")</f>
        <v/>
      </c>
      <c r="K481">
        <f>IFERROR(TODAY()-E481,"")</f>
        <v/>
      </c>
      <c r="L481">
        <f>IFERROR(IF(K481&lt;=90,"ATIVO",IF(K481&lt;=365,"MORNO","DORMENTE")),"")</f>
        <v/>
      </c>
    </row>
    <row r="482">
      <c r="D482" s="6" t="n"/>
      <c r="E482" s="6" t="n"/>
      <c r="G482" s="7" t="n"/>
      <c r="J482" s="7">
        <f>IFERROR(G482/F482,"")</f>
        <v/>
      </c>
      <c r="K482">
        <f>IFERROR(TODAY()-E482,"")</f>
        <v/>
      </c>
      <c r="L482">
        <f>IFERROR(IF(K482&lt;=90,"ATIVO",IF(K482&lt;=365,"MORNO","DORMENTE")),"")</f>
        <v/>
      </c>
    </row>
    <row r="483">
      <c r="D483" s="6" t="n"/>
      <c r="E483" s="6" t="n"/>
      <c r="G483" s="7" t="n"/>
      <c r="J483" s="7">
        <f>IFERROR(G483/F483,"")</f>
        <v/>
      </c>
      <c r="K483">
        <f>IFERROR(TODAY()-E483,"")</f>
        <v/>
      </c>
      <c r="L483">
        <f>IFERROR(IF(K483&lt;=90,"ATIVO",IF(K483&lt;=365,"MORNO","DORMENTE")),"")</f>
        <v/>
      </c>
    </row>
    <row r="484">
      <c r="D484" s="6" t="n"/>
      <c r="E484" s="6" t="n"/>
      <c r="G484" s="7" t="n"/>
      <c r="J484" s="7">
        <f>IFERROR(G484/F484,"")</f>
        <v/>
      </c>
      <c r="K484">
        <f>IFERROR(TODAY()-E484,"")</f>
        <v/>
      </c>
      <c r="L484">
        <f>IFERROR(IF(K484&lt;=90,"ATIVO",IF(K484&lt;=365,"MORNO","DORMENTE")),"")</f>
        <v/>
      </c>
    </row>
    <row r="485">
      <c r="D485" s="6" t="n"/>
      <c r="E485" s="6" t="n"/>
      <c r="G485" s="7" t="n"/>
      <c r="J485" s="7">
        <f>IFERROR(G485/F485,"")</f>
        <v/>
      </c>
      <c r="K485">
        <f>IFERROR(TODAY()-E485,"")</f>
        <v/>
      </c>
      <c r="L485">
        <f>IFERROR(IF(K485&lt;=90,"ATIVO",IF(K485&lt;=365,"MORNO","DORMENTE")),"")</f>
        <v/>
      </c>
    </row>
    <row r="486">
      <c r="D486" s="6" t="n"/>
      <c r="E486" s="6" t="n"/>
      <c r="G486" s="7" t="n"/>
      <c r="J486" s="7">
        <f>IFERROR(G486/F486,"")</f>
        <v/>
      </c>
      <c r="K486">
        <f>IFERROR(TODAY()-E486,"")</f>
        <v/>
      </c>
      <c r="L486">
        <f>IFERROR(IF(K486&lt;=90,"ATIVO",IF(K486&lt;=365,"MORNO","DORMENTE")),"")</f>
        <v/>
      </c>
    </row>
    <row r="487">
      <c r="D487" s="6" t="n"/>
      <c r="E487" s="6" t="n"/>
      <c r="G487" s="7" t="n"/>
      <c r="J487" s="7">
        <f>IFERROR(G487/F487,"")</f>
        <v/>
      </c>
      <c r="K487">
        <f>IFERROR(TODAY()-E487,"")</f>
        <v/>
      </c>
      <c r="L487">
        <f>IFERROR(IF(K487&lt;=90,"ATIVO",IF(K487&lt;=365,"MORNO","DORMENTE")),"")</f>
        <v/>
      </c>
    </row>
    <row r="488">
      <c r="D488" s="6" t="n"/>
      <c r="E488" s="6" t="n"/>
      <c r="G488" s="7" t="n"/>
      <c r="J488" s="7">
        <f>IFERROR(G488/F488,"")</f>
        <v/>
      </c>
      <c r="K488">
        <f>IFERROR(TODAY()-E488,"")</f>
        <v/>
      </c>
      <c r="L488">
        <f>IFERROR(IF(K488&lt;=90,"ATIVO",IF(K488&lt;=365,"MORNO","DORMENTE")),"")</f>
        <v/>
      </c>
    </row>
    <row r="489">
      <c r="D489" s="6" t="n"/>
      <c r="E489" s="6" t="n"/>
      <c r="G489" s="7" t="n"/>
      <c r="J489" s="7">
        <f>IFERROR(G489/F489,"")</f>
        <v/>
      </c>
      <c r="K489">
        <f>IFERROR(TODAY()-E489,"")</f>
        <v/>
      </c>
      <c r="L489">
        <f>IFERROR(IF(K489&lt;=90,"ATIVO",IF(K489&lt;=365,"MORNO","DORMENTE")),"")</f>
        <v/>
      </c>
    </row>
    <row r="490">
      <c r="D490" s="6" t="n"/>
      <c r="E490" s="6" t="n"/>
      <c r="G490" s="7" t="n"/>
      <c r="J490" s="7">
        <f>IFERROR(G490/F490,"")</f>
        <v/>
      </c>
      <c r="K490">
        <f>IFERROR(TODAY()-E490,"")</f>
        <v/>
      </c>
      <c r="L490">
        <f>IFERROR(IF(K490&lt;=90,"ATIVO",IF(K490&lt;=365,"MORNO","DORMENTE")),"")</f>
        <v/>
      </c>
    </row>
    <row r="491">
      <c r="D491" s="6" t="n"/>
      <c r="E491" s="6" t="n"/>
      <c r="G491" s="7" t="n"/>
      <c r="J491" s="7">
        <f>IFERROR(G491/F491,"")</f>
        <v/>
      </c>
      <c r="K491">
        <f>IFERROR(TODAY()-E491,"")</f>
        <v/>
      </c>
      <c r="L491">
        <f>IFERROR(IF(K491&lt;=90,"ATIVO",IF(K491&lt;=365,"MORNO","DORMENTE")),"")</f>
        <v/>
      </c>
    </row>
    <row r="492">
      <c r="D492" s="6" t="n"/>
      <c r="E492" s="6" t="n"/>
      <c r="G492" s="7" t="n"/>
      <c r="J492" s="7">
        <f>IFERROR(G492/F492,"")</f>
        <v/>
      </c>
      <c r="K492">
        <f>IFERROR(TODAY()-E492,"")</f>
        <v/>
      </c>
      <c r="L492">
        <f>IFERROR(IF(K492&lt;=90,"ATIVO",IF(K492&lt;=365,"MORNO","DORMENTE")),"")</f>
        <v/>
      </c>
    </row>
    <row r="493">
      <c r="D493" s="6" t="n"/>
      <c r="E493" s="6" t="n"/>
      <c r="G493" s="7" t="n"/>
      <c r="J493" s="7">
        <f>IFERROR(G493/F493,"")</f>
        <v/>
      </c>
      <c r="K493">
        <f>IFERROR(TODAY()-E493,"")</f>
        <v/>
      </c>
      <c r="L493">
        <f>IFERROR(IF(K493&lt;=90,"ATIVO",IF(K493&lt;=365,"MORNO","DORMENTE")),"")</f>
        <v/>
      </c>
    </row>
    <row r="494">
      <c r="D494" s="6" t="n"/>
      <c r="E494" s="6" t="n"/>
      <c r="G494" s="7" t="n"/>
      <c r="J494" s="7">
        <f>IFERROR(G494/F494,"")</f>
        <v/>
      </c>
      <c r="K494">
        <f>IFERROR(TODAY()-E494,"")</f>
        <v/>
      </c>
      <c r="L494">
        <f>IFERROR(IF(K494&lt;=90,"ATIVO",IF(K494&lt;=365,"MORNO","DORMENTE")),"")</f>
        <v/>
      </c>
    </row>
    <row r="495">
      <c r="D495" s="6" t="n"/>
      <c r="E495" s="6" t="n"/>
      <c r="G495" s="7" t="n"/>
      <c r="J495" s="7">
        <f>IFERROR(G495/F495,"")</f>
        <v/>
      </c>
      <c r="K495">
        <f>IFERROR(TODAY()-E495,"")</f>
        <v/>
      </c>
      <c r="L495">
        <f>IFERROR(IF(K495&lt;=90,"ATIVO",IF(K495&lt;=365,"MORNO","DORMENTE")),"")</f>
        <v/>
      </c>
    </row>
    <row r="496">
      <c r="D496" s="6" t="n"/>
      <c r="E496" s="6" t="n"/>
      <c r="G496" s="7" t="n"/>
      <c r="J496" s="7">
        <f>IFERROR(G496/F496,"")</f>
        <v/>
      </c>
      <c r="K496">
        <f>IFERROR(TODAY()-E496,"")</f>
        <v/>
      </c>
      <c r="L496">
        <f>IFERROR(IF(K496&lt;=90,"ATIVO",IF(K496&lt;=365,"MORNO","DORMENTE")),"")</f>
        <v/>
      </c>
    </row>
    <row r="497">
      <c r="D497" s="6" t="n"/>
      <c r="E497" s="6" t="n"/>
      <c r="G497" s="7" t="n"/>
      <c r="J497" s="7">
        <f>IFERROR(G497/F497,"")</f>
        <v/>
      </c>
      <c r="K497">
        <f>IFERROR(TODAY()-E497,"")</f>
        <v/>
      </c>
      <c r="L497">
        <f>IFERROR(IF(K497&lt;=90,"ATIVO",IF(K497&lt;=365,"MORNO","DORMENTE")),"")</f>
        <v/>
      </c>
    </row>
    <row r="498">
      <c r="D498" s="6" t="n"/>
      <c r="E498" s="6" t="n"/>
      <c r="G498" s="7" t="n"/>
      <c r="J498" s="7">
        <f>IFERROR(G498/F498,"")</f>
        <v/>
      </c>
      <c r="K498">
        <f>IFERROR(TODAY()-E498,"")</f>
        <v/>
      </c>
      <c r="L498">
        <f>IFERROR(IF(K498&lt;=90,"ATIVO",IF(K498&lt;=365,"MORNO","DORMENTE")),"")</f>
        <v/>
      </c>
    </row>
    <row r="499">
      <c r="D499" s="6" t="n"/>
      <c r="E499" s="6" t="n"/>
      <c r="G499" s="7" t="n"/>
      <c r="J499" s="7">
        <f>IFERROR(G499/F499,"")</f>
        <v/>
      </c>
      <c r="K499">
        <f>IFERROR(TODAY()-E499,"")</f>
        <v/>
      </c>
      <c r="L499">
        <f>IFERROR(IF(K499&lt;=90,"ATIVO",IF(K499&lt;=365,"MORNO","DORMENTE")),"")</f>
        <v/>
      </c>
    </row>
    <row r="500">
      <c r="D500" s="6" t="n"/>
      <c r="E500" s="6" t="n"/>
      <c r="G500" s="7" t="n"/>
      <c r="J500" s="7">
        <f>IFERROR(G500/F500,"")</f>
        <v/>
      </c>
      <c r="K500">
        <f>IFERROR(TODAY()-E500,"")</f>
        <v/>
      </c>
      <c r="L500">
        <f>IFERROR(IF(K500&lt;=90,"ATIVO",IF(K500&lt;=365,"MORNO","DORMENTE")),"")</f>
        <v/>
      </c>
    </row>
    <row r="501">
      <c r="D501" s="6" t="n"/>
      <c r="E501" s="6" t="n"/>
      <c r="G501" s="7" t="n"/>
      <c r="J501" s="7">
        <f>IFERROR(G501/F501,"")</f>
        <v/>
      </c>
      <c r="K501">
        <f>IFERROR(TODAY()-E501,"")</f>
        <v/>
      </c>
      <c r="L501">
        <f>IFERROR(IF(K501&lt;=90,"ATIVO",IF(K501&lt;=365,"MORNO","DORMENTE")),"")</f>
        <v/>
      </c>
    </row>
    <row r="503">
      <c r="A503" s="8" t="inlineStr">
        <is>
          <t>Colar a base a partir da linha 2. As colunas J, K e L calculam sozinhas — não digitar nelas.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AUDITORIA DA BASE</t>
        </is>
      </c>
    </row>
    <row r="2">
      <c r="A2" s="8" t="inlineStr">
        <is>
          <t>Calcula sozinha a partir de CONTATOS. É esta página que fecha a venda.</t>
        </is>
      </c>
    </row>
    <row r="4">
      <c r="A4" s="3" t="inlineStr">
        <is>
          <t>O QUE ELA TEM</t>
        </is>
      </c>
    </row>
    <row r="5">
      <c r="A5" t="inlineStr">
        <is>
          <t>Total de contatos na base</t>
        </is>
      </c>
      <c r="B5" s="9">
        <f>COUNTA(CONTATOS!C2:C501)</f>
        <v/>
      </c>
    </row>
    <row r="6">
      <c r="A6" t="inlineStr">
        <is>
          <t>Compraram nos últimos 90 dias  ·  ATIVO</t>
        </is>
      </c>
      <c r="B6" s="9">
        <f>COUNTIF(CONTATOS!L2:L501,"ATIVO")</f>
        <v/>
      </c>
    </row>
    <row r="7">
      <c r="A7" t="inlineStr">
        <is>
          <t>Compraram entre 90 e 365 dias  ·  MORNO</t>
        </is>
      </c>
      <c r="B7" s="9">
        <f>COUNTIF(CONTATOS!L2:L501,"MORNO")</f>
        <v/>
      </c>
    </row>
    <row r="8">
      <c r="A8" t="inlineStr">
        <is>
          <t>Não compram há mais de 1 ano  ·  DORMENTE</t>
        </is>
      </c>
      <c r="B8" s="9">
        <f>COUNTIF(CONTATOS!L2:L501,"DORMENTE")</f>
        <v/>
      </c>
    </row>
    <row r="9">
      <c r="A9" t="inlineStr">
        <is>
          <t>Pediram para sair  ·  OPT-OUT</t>
        </is>
      </c>
      <c r="B9" s="9">
        <f>COUNTIF(CONTATOS!N2:N501,"S")</f>
        <v/>
      </c>
    </row>
    <row r="11">
      <c r="A11" s="3" t="inlineStr">
        <is>
          <t>COMO ELA COMPRA</t>
        </is>
      </c>
    </row>
    <row r="12">
      <c r="A12" t="inlineStr">
        <is>
          <t>Ticket médio</t>
        </is>
      </c>
      <c r="B12" s="10">
        <f>IFERROR(AVERAGE(CONTATOS!J2:J501),0)</f>
        <v/>
      </c>
    </row>
    <row r="13">
      <c r="A13" t="inlineStr">
        <is>
          <t>Compras por cliente (frequência)</t>
        </is>
      </c>
      <c r="B13" s="9">
        <f>IFERROR(AVERAGE(CONTATOS!F2:F501),0)</f>
        <v/>
      </c>
    </row>
    <row r="14">
      <c r="A14" t="inlineStr">
        <is>
          <t>Faturamento histórico registrado na base</t>
        </is>
      </c>
      <c r="B14" s="10">
        <f>SUM(CONTATOS!G2:G501)</f>
        <v/>
      </c>
    </row>
    <row r="16">
      <c r="A16" s="3" t="inlineStr">
        <is>
          <t>O DINHEIRO PARADO</t>
        </is>
      </c>
    </row>
    <row r="17">
      <c r="A17" s="11" t="inlineStr">
        <is>
          <t>Alvo da campanha  ·  MORNO + DORMENTE</t>
        </is>
      </c>
      <c r="B17" s="12">
        <f>B7+B8</f>
        <v/>
      </c>
    </row>
    <row r="18">
      <c r="A18" t="inlineStr">
        <is>
          <t>Taxa de resposta esperada</t>
        </is>
      </c>
      <c r="B18" s="13" t="n">
        <v>0.08</v>
      </c>
    </row>
    <row r="19">
      <c r="A19" t="inlineStr">
        <is>
          <t>Taxa de conversão sobre quem responde</t>
        </is>
      </c>
      <c r="B19" s="13" t="n">
        <v>0.32</v>
      </c>
    </row>
    <row r="20">
      <c r="A20" s="11" t="inlineStr">
        <is>
          <t>VENDA POTENCIAL DA PRIMEIRA CAMPANHA</t>
        </is>
      </c>
      <c r="B20" s="14">
        <f>B17*B18*B19*B12</f>
        <v/>
      </c>
    </row>
    <row r="22">
      <c r="A22" s="3" t="inlineStr">
        <is>
          <t>A TRAVA COMERCIAL</t>
        </is>
      </c>
    </row>
    <row r="23">
      <c r="A23" t="inlineStr">
        <is>
          <t>Mensalidade do EX1</t>
        </is>
      </c>
      <c r="B23" s="10" t="n">
        <v>1800</v>
      </c>
    </row>
    <row r="24">
      <c r="A24" s="11" t="inlineStr">
        <is>
          <t>Venda nova que precisa gerar (fee ÷ 0,35)</t>
        </is>
      </c>
      <c r="B24" s="15">
        <f>B23/0.35</f>
        <v/>
      </c>
    </row>
    <row r="25">
      <c r="A25" t="inlineStr">
        <is>
          <t>A campanha cobre quanto da meta?</t>
        </is>
      </c>
      <c r="B25" s="13">
        <f>IFERROR(B20/B24,"")</f>
        <v/>
      </c>
    </row>
    <row r="27">
      <c r="A27" s="8" t="inlineStr">
        <is>
          <t>As taxas de 8% e 32% são referência de mercado (ver 13-MERCADO). Substituir pelo número real da casa assim que houver 3 campanhas medidas.</t>
        </is>
      </c>
    </row>
    <row r="28">
      <c r="A28" s="8" t="inlineStr">
        <is>
          <t>Frase para a call: "Você tem X clientes. Y não compram há mais de um ano. Isso é R$Z de venda parada."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20" customWidth="1" min="4" max="4"/>
    <col width="13" customWidth="1" min="5" max="5"/>
    <col width="14" customWidth="1" min="6" max="6"/>
    <col width="12" customWidth="1" min="7" max="7"/>
    <col width="15" customWidth="1" min="8" max="8"/>
    <col width="15" customWidth="1" min="9" max="9"/>
    <col width="17" customWidth="1" min="10" max="10"/>
    <col width="13" customWidth="1" min="11" max="11"/>
    <col width="60" customWidth="1" min="12" max="12"/>
  </cols>
  <sheetData>
    <row r="1">
      <c r="A1" s="5" t="inlineStr">
        <is>
          <t>CAMPANHA_ID</t>
        </is>
      </c>
      <c r="B1" s="5" t="inlineStr">
        <is>
          <t>DATA</t>
        </is>
      </c>
      <c r="C1" s="5" t="inlineStr">
        <is>
          <t>SEGMENTO</t>
        </is>
      </c>
      <c r="D1" s="5" t="inlineStr">
        <is>
          <t>TIPO_OFERTA</t>
        </is>
      </c>
      <c r="E1" s="5" t="inlineStr">
        <is>
          <t>N_ENVIADOS</t>
        </is>
      </c>
      <c r="F1" s="5" t="inlineStr">
        <is>
          <t>N_RESPOSTAS</t>
        </is>
      </c>
      <c r="G1" s="5" t="inlineStr">
        <is>
          <t>N_VENDAS</t>
        </is>
      </c>
      <c r="H1" s="5" t="inlineStr">
        <is>
          <t>VALOR_TOTAL</t>
        </is>
      </c>
      <c r="I1" s="5" t="inlineStr">
        <is>
          <t>TAXA_RESPOSTA</t>
        </is>
      </c>
      <c r="J1" s="5" t="inlineStr">
        <is>
          <t>TAXA_CONVERSAO</t>
        </is>
      </c>
      <c r="K1" s="5" t="inlineStr">
        <is>
          <t>TICKET</t>
        </is>
      </c>
      <c r="L1" s="5" t="inlineStr">
        <is>
          <t>COPY_USADA</t>
        </is>
      </c>
    </row>
    <row r="2">
      <c r="B2" s="6" t="n"/>
      <c r="H2" s="7" t="n"/>
      <c r="I2" s="13">
        <f>IFERROR(F2/E2,"")</f>
        <v/>
      </c>
      <c r="J2" s="13">
        <f>IFERROR(G2/F2,"")</f>
        <v/>
      </c>
      <c r="K2" s="7">
        <f>IFERROR(H2/G2,"")</f>
        <v/>
      </c>
    </row>
    <row r="3">
      <c r="B3" s="6" t="n"/>
      <c r="H3" s="7" t="n"/>
      <c r="I3" s="13">
        <f>IFERROR(F3/E3,"")</f>
        <v/>
      </c>
      <c r="J3" s="13">
        <f>IFERROR(G3/F3,"")</f>
        <v/>
      </c>
      <c r="K3" s="7">
        <f>IFERROR(H3/G3,"")</f>
        <v/>
      </c>
    </row>
    <row r="4">
      <c r="B4" s="6" t="n"/>
      <c r="H4" s="7" t="n"/>
      <c r="I4" s="13">
        <f>IFERROR(F4/E4,"")</f>
        <v/>
      </c>
      <c r="J4" s="13">
        <f>IFERROR(G4/F4,"")</f>
        <v/>
      </c>
      <c r="K4" s="7">
        <f>IFERROR(H4/G4,"")</f>
        <v/>
      </c>
    </row>
    <row r="5">
      <c r="B5" s="6" t="n"/>
      <c r="H5" s="7" t="n"/>
      <c r="I5" s="13">
        <f>IFERROR(F5/E5,"")</f>
        <v/>
      </c>
      <c r="J5" s="13">
        <f>IFERROR(G5/F5,"")</f>
        <v/>
      </c>
      <c r="K5" s="7">
        <f>IFERROR(H5/G5,"")</f>
        <v/>
      </c>
    </row>
    <row r="6">
      <c r="B6" s="6" t="n"/>
      <c r="H6" s="7" t="n"/>
      <c r="I6" s="13">
        <f>IFERROR(F6/E6,"")</f>
        <v/>
      </c>
      <c r="J6" s="13">
        <f>IFERROR(G6/F6,"")</f>
        <v/>
      </c>
      <c r="K6" s="7">
        <f>IFERROR(H6/G6,"")</f>
        <v/>
      </c>
    </row>
    <row r="7">
      <c r="B7" s="6" t="n"/>
      <c r="H7" s="7" t="n"/>
      <c r="I7" s="13">
        <f>IFERROR(F7/E7,"")</f>
        <v/>
      </c>
      <c r="J7" s="13">
        <f>IFERROR(G7/F7,"")</f>
        <v/>
      </c>
      <c r="K7" s="7">
        <f>IFERROR(H7/G7,"")</f>
        <v/>
      </c>
    </row>
    <row r="8">
      <c r="B8" s="6" t="n"/>
      <c r="H8" s="7" t="n"/>
      <c r="I8" s="13">
        <f>IFERROR(F8/E8,"")</f>
        <v/>
      </c>
      <c r="J8" s="13">
        <f>IFERROR(G8/F8,"")</f>
        <v/>
      </c>
      <c r="K8" s="7">
        <f>IFERROR(H8/G8,"")</f>
        <v/>
      </c>
    </row>
    <row r="9">
      <c r="B9" s="6" t="n"/>
      <c r="H9" s="7" t="n"/>
      <c r="I9" s="13">
        <f>IFERROR(F9/E9,"")</f>
        <v/>
      </c>
      <c r="J9" s="13">
        <f>IFERROR(G9/F9,"")</f>
        <v/>
      </c>
      <c r="K9" s="7">
        <f>IFERROR(H9/G9,"")</f>
        <v/>
      </c>
    </row>
    <row r="10">
      <c r="B10" s="6" t="n"/>
      <c r="H10" s="7" t="n"/>
      <c r="I10" s="13">
        <f>IFERROR(F10/E10,"")</f>
        <v/>
      </c>
      <c r="J10" s="13">
        <f>IFERROR(G10/F10,"")</f>
        <v/>
      </c>
      <c r="K10" s="7">
        <f>IFERROR(H10/G10,"")</f>
        <v/>
      </c>
    </row>
    <row r="11">
      <c r="B11" s="6" t="n"/>
      <c r="H11" s="7" t="n"/>
      <c r="I11" s="13">
        <f>IFERROR(F11/E11,"")</f>
        <v/>
      </c>
      <c r="J11" s="13">
        <f>IFERROR(G11/F11,"")</f>
        <v/>
      </c>
      <c r="K11" s="7">
        <f>IFERROR(H11/G11,"")</f>
        <v/>
      </c>
    </row>
    <row r="12">
      <c r="B12" s="6" t="n"/>
      <c r="H12" s="7" t="n"/>
      <c r="I12" s="13">
        <f>IFERROR(F12/E12,"")</f>
        <v/>
      </c>
      <c r="J12" s="13">
        <f>IFERROR(G12/F12,"")</f>
        <v/>
      </c>
      <c r="K12" s="7">
        <f>IFERROR(H12/G12,"")</f>
        <v/>
      </c>
    </row>
    <row r="13">
      <c r="B13" s="6" t="n"/>
      <c r="H13" s="7" t="n"/>
      <c r="I13" s="13">
        <f>IFERROR(F13/E13,"")</f>
        <v/>
      </c>
      <c r="J13" s="13">
        <f>IFERROR(G13/F13,"")</f>
        <v/>
      </c>
      <c r="K13" s="7">
        <f>IFERROR(H13/G13,"")</f>
        <v/>
      </c>
    </row>
    <row r="14">
      <c r="B14" s="6" t="n"/>
      <c r="H14" s="7" t="n"/>
      <c r="I14" s="13">
        <f>IFERROR(F14/E14,"")</f>
        <v/>
      </c>
      <c r="J14" s="13">
        <f>IFERROR(G14/F14,"")</f>
        <v/>
      </c>
      <c r="K14" s="7">
        <f>IFERROR(H14/G14,"")</f>
        <v/>
      </c>
    </row>
    <row r="15">
      <c r="B15" s="6" t="n"/>
      <c r="H15" s="7" t="n"/>
      <c r="I15" s="13">
        <f>IFERROR(F15/E15,"")</f>
        <v/>
      </c>
      <c r="J15" s="13">
        <f>IFERROR(G15/F15,"")</f>
        <v/>
      </c>
      <c r="K15" s="7">
        <f>IFERROR(H15/G15,"")</f>
        <v/>
      </c>
    </row>
    <row r="16">
      <c r="B16" s="6" t="n"/>
      <c r="H16" s="7" t="n"/>
      <c r="I16" s="13">
        <f>IFERROR(F16/E16,"")</f>
        <v/>
      </c>
      <c r="J16" s="13">
        <f>IFERROR(G16/F16,"")</f>
        <v/>
      </c>
      <c r="K16" s="7">
        <f>IFERROR(H16/G16,"")</f>
        <v/>
      </c>
    </row>
    <row r="17">
      <c r="B17" s="6" t="n"/>
      <c r="H17" s="7" t="n"/>
      <c r="I17" s="13">
        <f>IFERROR(F17/E17,"")</f>
        <v/>
      </c>
      <c r="J17" s="13">
        <f>IFERROR(G17/F17,"")</f>
        <v/>
      </c>
      <c r="K17" s="7">
        <f>IFERROR(H17/G17,"")</f>
        <v/>
      </c>
    </row>
    <row r="18">
      <c r="B18" s="6" t="n"/>
      <c r="H18" s="7" t="n"/>
      <c r="I18" s="13">
        <f>IFERROR(F18/E18,"")</f>
        <v/>
      </c>
      <c r="J18" s="13">
        <f>IFERROR(G18/F18,"")</f>
        <v/>
      </c>
      <c r="K18" s="7">
        <f>IFERROR(H18/G18,"")</f>
        <v/>
      </c>
    </row>
    <row r="19">
      <c r="B19" s="6" t="n"/>
      <c r="H19" s="7" t="n"/>
      <c r="I19" s="13">
        <f>IFERROR(F19/E19,"")</f>
        <v/>
      </c>
      <c r="J19" s="13">
        <f>IFERROR(G19/F19,"")</f>
        <v/>
      </c>
      <c r="K19" s="7">
        <f>IFERROR(H19/G19,"")</f>
        <v/>
      </c>
    </row>
    <row r="20">
      <c r="B20" s="6" t="n"/>
      <c r="H20" s="7" t="n"/>
      <c r="I20" s="13">
        <f>IFERROR(F20/E20,"")</f>
        <v/>
      </c>
      <c r="J20" s="13">
        <f>IFERROR(G20/F20,"")</f>
        <v/>
      </c>
      <c r="K20" s="7">
        <f>IFERROR(H20/G20,"")</f>
        <v/>
      </c>
    </row>
    <row r="21">
      <c r="B21" s="6" t="n"/>
      <c r="H21" s="7" t="n"/>
      <c r="I21" s="13">
        <f>IFERROR(F21/E21,"")</f>
        <v/>
      </c>
      <c r="J21" s="13">
        <f>IFERROR(G21/F21,"")</f>
        <v/>
      </c>
      <c r="K21" s="7">
        <f>IFERROR(H21/G21,"")</f>
        <v/>
      </c>
    </row>
    <row r="22">
      <c r="B22" s="6" t="n"/>
      <c r="H22" s="7" t="n"/>
      <c r="I22" s="13">
        <f>IFERROR(F22/E22,"")</f>
        <v/>
      </c>
      <c r="J22" s="13">
        <f>IFERROR(G22/F22,"")</f>
        <v/>
      </c>
      <c r="K22" s="7">
        <f>IFERROR(H22/G22,"")</f>
        <v/>
      </c>
    </row>
    <row r="23">
      <c r="B23" s="6" t="n"/>
      <c r="H23" s="7" t="n"/>
      <c r="I23" s="13">
        <f>IFERROR(F23/E23,"")</f>
        <v/>
      </c>
      <c r="J23" s="13">
        <f>IFERROR(G23/F23,"")</f>
        <v/>
      </c>
      <c r="K23" s="7">
        <f>IFERROR(H23/G23,"")</f>
        <v/>
      </c>
    </row>
    <row r="24">
      <c r="B24" s="6" t="n"/>
      <c r="H24" s="7" t="n"/>
      <c r="I24" s="13">
        <f>IFERROR(F24/E24,"")</f>
        <v/>
      </c>
      <c r="J24" s="13">
        <f>IFERROR(G24/F24,"")</f>
        <v/>
      </c>
      <c r="K24" s="7">
        <f>IFERROR(H24/G24,"")</f>
        <v/>
      </c>
    </row>
    <row r="25">
      <c r="B25" s="6" t="n"/>
      <c r="H25" s="7" t="n"/>
      <c r="I25" s="13">
        <f>IFERROR(F25/E25,"")</f>
        <v/>
      </c>
      <c r="J25" s="13">
        <f>IFERROR(G25/F25,"")</f>
        <v/>
      </c>
      <c r="K25" s="7">
        <f>IFERROR(H25/G25,"")</f>
        <v/>
      </c>
    </row>
    <row r="26">
      <c r="B26" s="6" t="n"/>
      <c r="H26" s="7" t="n"/>
      <c r="I26" s="13">
        <f>IFERROR(F26/E26,"")</f>
        <v/>
      </c>
      <c r="J26" s="13">
        <f>IFERROR(G26/F26,"")</f>
        <v/>
      </c>
      <c r="K26" s="7">
        <f>IFERROR(H26/G26,"")</f>
        <v/>
      </c>
    </row>
    <row r="27">
      <c r="B27" s="6" t="n"/>
      <c r="H27" s="7" t="n"/>
      <c r="I27" s="13">
        <f>IFERROR(F27/E27,"")</f>
        <v/>
      </c>
      <c r="J27" s="13">
        <f>IFERROR(G27/F27,"")</f>
        <v/>
      </c>
      <c r="K27" s="7">
        <f>IFERROR(H27/G27,"")</f>
        <v/>
      </c>
    </row>
    <row r="28">
      <c r="B28" s="6" t="n"/>
      <c r="H28" s="7" t="n"/>
      <c r="I28" s="13">
        <f>IFERROR(F28/E28,"")</f>
        <v/>
      </c>
      <c r="J28" s="13">
        <f>IFERROR(G28/F28,"")</f>
        <v/>
      </c>
      <c r="K28" s="7">
        <f>IFERROR(H28/G28,"")</f>
        <v/>
      </c>
    </row>
    <row r="29">
      <c r="B29" s="6" t="n"/>
      <c r="H29" s="7" t="n"/>
      <c r="I29" s="13">
        <f>IFERROR(F29/E29,"")</f>
        <v/>
      </c>
      <c r="J29" s="13">
        <f>IFERROR(G29/F29,"")</f>
        <v/>
      </c>
      <c r="K29" s="7">
        <f>IFERROR(H29/G29,"")</f>
        <v/>
      </c>
    </row>
    <row r="30">
      <c r="B30" s="6" t="n"/>
      <c r="H30" s="7" t="n"/>
      <c r="I30" s="13">
        <f>IFERROR(F30/E30,"")</f>
        <v/>
      </c>
      <c r="J30" s="13">
        <f>IFERROR(G30/F30,"")</f>
        <v/>
      </c>
      <c r="K30" s="7">
        <f>IFERROR(H30/G30,"")</f>
        <v/>
      </c>
    </row>
    <row r="31">
      <c r="B31" s="6" t="n"/>
      <c r="H31" s="7" t="n"/>
      <c r="I31" s="13">
        <f>IFERROR(F31/E31,"")</f>
        <v/>
      </c>
      <c r="J31" s="13">
        <f>IFERROR(G31/F31,"")</f>
        <v/>
      </c>
      <c r="K31" s="7">
        <f>IFERROR(H31/G31,"")</f>
        <v/>
      </c>
    </row>
    <row r="32">
      <c r="B32" s="6" t="n"/>
      <c r="H32" s="7" t="n"/>
      <c r="I32" s="13">
        <f>IFERROR(F32/E32,"")</f>
        <v/>
      </c>
      <c r="J32" s="13">
        <f>IFERROR(G32/F32,"")</f>
        <v/>
      </c>
      <c r="K32" s="7">
        <f>IFERROR(H32/G32,"")</f>
        <v/>
      </c>
    </row>
    <row r="33">
      <c r="B33" s="6" t="n"/>
      <c r="H33" s="7" t="n"/>
      <c r="I33" s="13">
        <f>IFERROR(F33/E33,"")</f>
        <v/>
      </c>
      <c r="J33" s="13">
        <f>IFERROR(G33/F33,"")</f>
        <v/>
      </c>
      <c r="K33" s="7">
        <f>IFERROR(H33/G33,"")</f>
        <v/>
      </c>
    </row>
    <row r="34">
      <c r="B34" s="6" t="n"/>
      <c r="H34" s="7" t="n"/>
      <c r="I34" s="13">
        <f>IFERROR(F34/E34,"")</f>
        <v/>
      </c>
      <c r="J34" s="13">
        <f>IFERROR(G34/F34,"")</f>
        <v/>
      </c>
      <c r="K34" s="7">
        <f>IFERROR(H34/G34,"")</f>
        <v/>
      </c>
    </row>
    <row r="35">
      <c r="B35" s="6" t="n"/>
      <c r="H35" s="7" t="n"/>
      <c r="I35" s="13">
        <f>IFERROR(F35/E35,"")</f>
        <v/>
      </c>
      <c r="J35" s="13">
        <f>IFERROR(G35/F35,"")</f>
        <v/>
      </c>
      <c r="K35" s="7">
        <f>IFERROR(H35/G35,"")</f>
        <v/>
      </c>
    </row>
    <row r="36">
      <c r="B36" s="6" t="n"/>
      <c r="H36" s="7" t="n"/>
      <c r="I36" s="13">
        <f>IFERROR(F36/E36,"")</f>
        <v/>
      </c>
      <c r="J36" s="13">
        <f>IFERROR(G36/F36,"")</f>
        <v/>
      </c>
      <c r="K36" s="7">
        <f>IFERROR(H36/G36,"")</f>
        <v/>
      </c>
    </row>
    <row r="37">
      <c r="B37" s="6" t="n"/>
      <c r="H37" s="7" t="n"/>
      <c r="I37" s="13">
        <f>IFERROR(F37/E37,"")</f>
        <v/>
      </c>
      <c r="J37" s="13">
        <f>IFERROR(G37/F37,"")</f>
        <v/>
      </c>
      <c r="K37" s="7">
        <f>IFERROR(H37/G37,"")</f>
        <v/>
      </c>
    </row>
    <row r="38">
      <c r="B38" s="6" t="n"/>
      <c r="H38" s="7" t="n"/>
      <c r="I38" s="13">
        <f>IFERROR(F38/E38,"")</f>
        <v/>
      </c>
      <c r="J38" s="13">
        <f>IFERROR(G38/F38,"")</f>
        <v/>
      </c>
      <c r="K38" s="7">
        <f>IFERROR(H38/G38,"")</f>
        <v/>
      </c>
    </row>
    <row r="39">
      <c r="B39" s="6" t="n"/>
      <c r="H39" s="7" t="n"/>
      <c r="I39" s="13">
        <f>IFERROR(F39/E39,"")</f>
        <v/>
      </c>
      <c r="J39" s="13">
        <f>IFERROR(G39/F39,"")</f>
        <v/>
      </c>
      <c r="K39" s="7">
        <f>IFERROR(H39/G39,"")</f>
        <v/>
      </c>
    </row>
    <row r="40">
      <c r="B40" s="6" t="n"/>
      <c r="H40" s="7" t="n"/>
      <c r="I40" s="13">
        <f>IFERROR(F40/E40,"")</f>
        <v/>
      </c>
      <c r="J40" s="13">
        <f>IFERROR(G40/F40,"")</f>
        <v/>
      </c>
      <c r="K40" s="7">
        <f>IFERROR(H40/G40,"")</f>
        <v/>
      </c>
    </row>
    <row r="41">
      <c r="B41" s="6" t="n"/>
      <c r="H41" s="7" t="n"/>
      <c r="I41" s="13">
        <f>IFERROR(F41/E41,"")</f>
        <v/>
      </c>
      <c r="J41" s="13">
        <f>IFERROR(G41/F41,"")</f>
        <v/>
      </c>
      <c r="K41" s="7">
        <f>IFERROR(H41/G41,"")</f>
        <v/>
      </c>
    </row>
    <row r="42">
      <c r="B42" s="6" t="n"/>
      <c r="H42" s="7" t="n"/>
      <c r="I42" s="13">
        <f>IFERROR(F42/E42,"")</f>
        <v/>
      </c>
      <c r="J42" s="13">
        <f>IFERROR(G42/F42,"")</f>
        <v/>
      </c>
      <c r="K42" s="7">
        <f>IFERROR(H42/G42,"")</f>
        <v/>
      </c>
    </row>
    <row r="43">
      <c r="B43" s="6" t="n"/>
      <c r="H43" s="7" t="n"/>
      <c r="I43" s="13">
        <f>IFERROR(F43/E43,"")</f>
        <v/>
      </c>
      <c r="J43" s="13">
        <f>IFERROR(G43/F43,"")</f>
        <v/>
      </c>
      <c r="K43" s="7">
        <f>IFERROR(H43/G43,"")</f>
        <v/>
      </c>
    </row>
    <row r="44">
      <c r="B44" s="6" t="n"/>
      <c r="H44" s="7" t="n"/>
      <c r="I44" s="13">
        <f>IFERROR(F44/E44,"")</f>
        <v/>
      </c>
      <c r="J44" s="13">
        <f>IFERROR(G44/F44,"")</f>
        <v/>
      </c>
      <c r="K44" s="7">
        <f>IFERROR(H44/G44,"")</f>
        <v/>
      </c>
    </row>
    <row r="45">
      <c r="B45" s="6" t="n"/>
      <c r="H45" s="7" t="n"/>
      <c r="I45" s="13">
        <f>IFERROR(F45/E45,"")</f>
        <v/>
      </c>
      <c r="J45" s="13">
        <f>IFERROR(G45/F45,"")</f>
        <v/>
      </c>
      <c r="K45" s="7">
        <f>IFERROR(H45/G45,"")</f>
        <v/>
      </c>
    </row>
    <row r="46">
      <c r="B46" s="6" t="n"/>
      <c r="H46" s="7" t="n"/>
      <c r="I46" s="13">
        <f>IFERROR(F46/E46,"")</f>
        <v/>
      </c>
      <c r="J46" s="13">
        <f>IFERROR(G46/F46,"")</f>
        <v/>
      </c>
      <c r="K46" s="7">
        <f>IFERROR(H46/G46,"")</f>
        <v/>
      </c>
    </row>
    <row r="47">
      <c r="B47" s="6" t="n"/>
      <c r="H47" s="7" t="n"/>
      <c r="I47" s="13">
        <f>IFERROR(F47/E47,"")</f>
        <v/>
      </c>
      <c r="J47" s="13">
        <f>IFERROR(G47/F47,"")</f>
        <v/>
      </c>
      <c r="K47" s="7">
        <f>IFERROR(H47/G47,"")</f>
        <v/>
      </c>
    </row>
    <row r="48">
      <c r="B48" s="6" t="n"/>
      <c r="H48" s="7" t="n"/>
      <c r="I48" s="13">
        <f>IFERROR(F48/E48,"")</f>
        <v/>
      </c>
      <c r="J48" s="13">
        <f>IFERROR(G48/F48,"")</f>
        <v/>
      </c>
      <c r="K48" s="7">
        <f>IFERROR(H48/G48,"")</f>
        <v/>
      </c>
    </row>
    <row r="49">
      <c r="B49" s="6" t="n"/>
      <c r="H49" s="7" t="n"/>
      <c r="I49" s="13">
        <f>IFERROR(F49/E49,"")</f>
        <v/>
      </c>
      <c r="J49" s="13">
        <f>IFERROR(G49/F49,"")</f>
        <v/>
      </c>
      <c r="K49" s="7">
        <f>IFERROR(H49/G49,"")</f>
        <v/>
      </c>
    </row>
    <row r="50">
      <c r="B50" s="6" t="n"/>
      <c r="H50" s="7" t="n"/>
      <c r="I50" s="13">
        <f>IFERROR(F50/E50,"")</f>
        <v/>
      </c>
      <c r="J50" s="13">
        <f>IFERROR(G50/F50,"")</f>
        <v/>
      </c>
      <c r="K50" s="7">
        <f>IFERROR(H50/G50,"")</f>
        <v/>
      </c>
    </row>
    <row r="51">
      <c r="B51" s="6" t="n"/>
      <c r="H51" s="7" t="n"/>
      <c r="I51" s="13">
        <f>IFERROR(F51/E51,"")</f>
        <v/>
      </c>
      <c r="J51" s="13">
        <f>IFERROR(G51/F51,"")</f>
        <v/>
      </c>
      <c r="K51" s="7">
        <f>IFERROR(H51/G51,"")</f>
        <v/>
      </c>
    </row>
    <row r="52">
      <c r="B52" s="6" t="n"/>
      <c r="H52" s="7" t="n"/>
      <c r="I52" s="13">
        <f>IFERROR(F52/E52,"")</f>
        <v/>
      </c>
      <c r="J52" s="13">
        <f>IFERROR(G52/F52,"")</f>
        <v/>
      </c>
      <c r="K52" s="7">
        <f>IFERROR(H52/G52,"")</f>
        <v/>
      </c>
    </row>
    <row r="53">
      <c r="B53" s="6" t="n"/>
      <c r="H53" s="7" t="n"/>
      <c r="I53" s="13">
        <f>IFERROR(F53/E53,"")</f>
        <v/>
      </c>
      <c r="J53" s="13">
        <f>IFERROR(G53/F53,"")</f>
        <v/>
      </c>
      <c r="K53" s="7">
        <f>IFERROR(H53/G53,"")</f>
        <v/>
      </c>
    </row>
    <row r="54">
      <c r="B54" s="6" t="n"/>
      <c r="H54" s="7" t="n"/>
      <c r="I54" s="13">
        <f>IFERROR(F54/E54,"")</f>
        <v/>
      </c>
      <c r="J54" s="13">
        <f>IFERROR(G54/F54,"")</f>
        <v/>
      </c>
      <c r="K54" s="7">
        <f>IFERROR(H54/G54,"")</f>
        <v/>
      </c>
    </row>
    <row r="55">
      <c r="B55" s="6" t="n"/>
      <c r="H55" s="7" t="n"/>
      <c r="I55" s="13">
        <f>IFERROR(F55/E55,"")</f>
        <v/>
      </c>
      <c r="J55" s="13">
        <f>IFERROR(G55/F55,"")</f>
        <v/>
      </c>
      <c r="K55" s="7">
        <f>IFERROR(H55/G55,"")</f>
        <v/>
      </c>
    </row>
    <row r="56">
      <c r="B56" s="6" t="n"/>
      <c r="H56" s="7" t="n"/>
      <c r="I56" s="13">
        <f>IFERROR(F56/E56,"")</f>
        <v/>
      </c>
      <c r="J56" s="13">
        <f>IFERROR(G56/F56,"")</f>
        <v/>
      </c>
      <c r="K56" s="7">
        <f>IFERROR(H56/G56,"")</f>
        <v/>
      </c>
    </row>
    <row r="57">
      <c r="B57" s="6" t="n"/>
      <c r="H57" s="7" t="n"/>
      <c r="I57" s="13">
        <f>IFERROR(F57/E57,"")</f>
        <v/>
      </c>
      <c r="J57" s="13">
        <f>IFERROR(G57/F57,"")</f>
        <v/>
      </c>
      <c r="K57" s="7">
        <f>IFERROR(H57/G57,"")</f>
        <v/>
      </c>
    </row>
    <row r="58">
      <c r="B58" s="6" t="n"/>
      <c r="H58" s="7" t="n"/>
      <c r="I58" s="13">
        <f>IFERROR(F58/E58,"")</f>
        <v/>
      </c>
      <c r="J58" s="13">
        <f>IFERROR(G58/F58,"")</f>
        <v/>
      </c>
      <c r="K58" s="7">
        <f>IFERROR(H58/G58,"")</f>
        <v/>
      </c>
    </row>
    <row r="59">
      <c r="B59" s="6" t="n"/>
      <c r="H59" s="7" t="n"/>
      <c r="I59" s="13">
        <f>IFERROR(F59/E59,"")</f>
        <v/>
      </c>
      <c r="J59" s="13">
        <f>IFERROR(G59/F59,"")</f>
        <v/>
      </c>
      <c r="K59" s="7">
        <f>IFERROR(H59/G59,"")</f>
        <v/>
      </c>
    </row>
    <row r="60">
      <c r="B60" s="6" t="n"/>
      <c r="H60" s="7" t="n"/>
      <c r="I60" s="13">
        <f>IFERROR(F60/E60,"")</f>
        <v/>
      </c>
      <c r="J60" s="13">
        <f>IFERROR(G60/F60,"")</f>
        <v/>
      </c>
      <c r="K60" s="7">
        <f>IFERROR(H60/G60,"")</f>
        <v/>
      </c>
    </row>
    <row r="61">
      <c r="B61" s="6" t="n"/>
      <c r="H61" s="7" t="n"/>
      <c r="I61" s="13">
        <f>IFERROR(F61/E61,"")</f>
        <v/>
      </c>
      <c r="J61" s="13">
        <f>IFERROR(G61/F61,"")</f>
        <v/>
      </c>
      <c r="K61" s="7">
        <f>IFERROR(H61/G61,"")</f>
        <v/>
      </c>
    </row>
    <row r="62">
      <c r="B62" s="6" t="n"/>
      <c r="H62" s="7" t="n"/>
      <c r="I62" s="13">
        <f>IFERROR(F62/E62,"")</f>
        <v/>
      </c>
      <c r="J62" s="13">
        <f>IFERROR(G62/F62,"")</f>
        <v/>
      </c>
      <c r="K62" s="7">
        <f>IFERROR(H62/G62,"")</f>
        <v/>
      </c>
    </row>
    <row r="63">
      <c r="B63" s="6" t="n"/>
      <c r="H63" s="7" t="n"/>
      <c r="I63" s="13">
        <f>IFERROR(F63/E63,"")</f>
        <v/>
      </c>
      <c r="J63" s="13">
        <f>IFERROR(G63/F63,"")</f>
        <v/>
      </c>
      <c r="K63" s="7">
        <f>IFERROR(H63/G63,"")</f>
        <v/>
      </c>
    </row>
    <row r="64">
      <c r="B64" s="6" t="n"/>
      <c r="H64" s="7" t="n"/>
      <c r="I64" s="13">
        <f>IFERROR(F64/E64,"")</f>
        <v/>
      </c>
      <c r="J64" s="13">
        <f>IFERROR(G64/F64,"")</f>
        <v/>
      </c>
      <c r="K64" s="7">
        <f>IFERROR(H64/G64,"")</f>
        <v/>
      </c>
    </row>
    <row r="65">
      <c r="B65" s="6" t="n"/>
      <c r="H65" s="7" t="n"/>
      <c r="I65" s="13">
        <f>IFERROR(F65/E65,"")</f>
        <v/>
      </c>
      <c r="J65" s="13">
        <f>IFERROR(G65/F65,"")</f>
        <v/>
      </c>
      <c r="K65" s="7">
        <f>IFERROR(H65/G65,"")</f>
        <v/>
      </c>
    </row>
    <row r="66">
      <c r="B66" s="6" t="n"/>
      <c r="H66" s="7" t="n"/>
      <c r="I66" s="13">
        <f>IFERROR(F66/E66,"")</f>
        <v/>
      </c>
      <c r="J66" s="13">
        <f>IFERROR(G66/F66,"")</f>
        <v/>
      </c>
      <c r="K66" s="7">
        <f>IFERROR(H66/G66,"")</f>
        <v/>
      </c>
    </row>
    <row r="67">
      <c r="B67" s="6" t="n"/>
      <c r="H67" s="7" t="n"/>
      <c r="I67" s="13">
        <f>IFERROR(F67/E67,"")</f>
        <v/>
      </c>
      <c r="J67" s="13">
        <f>IFERROR(G67/F67,"")</f>
        <v/>
      </c>
      <c r="K67" s="7">
        <f>IFERROR(H67/G67,"")</f>
        <v/>
      </c>
    </row>
    <row r="68">
      <c r="B68" s="6" t="n"/>
      <c r="H68" s="7" t="n"/>
      <c r="I68" s="13">
        <f>IFERROR(F68/E68,"")</f>
        <v/>
      </c>
      <c r="J68" s="13">
        <f>IFERROR(G68/F68,"")</f>
        <v/>
      </c>
      <c r="K68" s="7">
        <f>IFERROR(H68/G68,"")</f>
        <v/>
      </c>
    </row>
    <row r="69">
      <c r="B69" s="6" t="n"/>
      <c r="H69" s="7" t="n"/>
      <c r="I69" s="13">
        <f>IFERROR(F69/E69,"")</f>
        <v/>
      </c>
      <c r="J69" s="13">
        <f>IFERROR(G69/F69,"")</f>
        <v/>
      </c>
      <c r="K69" s="7">
        <f>IFERROR(H69/G69,"")</f>
        <v/>
      </c>
    </row>
    <row r="70">
      <c r="B70" s="6" t="n"/>
      <c r="H70" s="7" t="n"/>
      <c r="I70" s="13">
        <f>IFERROR(F70/E70,"")</f>
        <v/>
      </c>
      <c r="J70" s="13">
        <f>IFERROR(G70/F70,"")</f>
        <v/>
      </c>
      <c r="K70" s="7">
        <f>IFERROR(H70/G70,"")</f>
        <v/>
      </c>
    </row>
    <row r="71">
      <c r="B71" s="6" t="n"/>
      <c r="H71" s="7" t="n"/>
      <c r="I71" s="13">
        <f>IFERROR(F71/E71,"")</f>
        <v/>
      </c>
      <c r="J71" s="13">
        <f>IFERROR(G71/F71,"")</f>
        <v/>
      </c>
      <c r="K71" s="7">
        <f>IFERROR(H71/G71,"")</f>
        <v/>
      </c>
    </row>
    <row r="72">
      <c r="B72" s="6" t="n"/>
      <c r="H72" s="7" t="n"/>
      <c r="I72" s="13">
        <f>IFERROR(F72/E72,"")</f>
        <v/>
      </c>
      <c r="J72" s="13">
        <f>IFERROR(G72/F72,"")</f>
        <v/>
      </c>
      <c r="K72" s="7">
        <f>IFERROR(H72/G72,"")</f>
        <v/>
      </c>
    </row>
    <row r="73">
      <c r="B73" s="6" t="n"/>
      <c r="H73" s="7" t="n"/>
      <c r="I73" s="13">
        <f>IFERROR(F73/E73,"")</f>
        <v/>
      </c>
      <c r="J73" s="13">
        <f>IFERROR(G73/F73,"")</f>
        <v/>
      </c>
      <c r="K73" s="7">
        <f>IFERROR(H73/G73,"")</f>
        <v/>
      </c>
    </row>
    <row r="74">
      <c r="B74" s="6" t="n"/>
      <c r="H74" s="7" t="n"/>
      <c r="I74" s="13">
        <f>IFERROR(F74/E74,"")</f>
        <v/>
      </c>
      <c r="J74" s="13">
        <f>IFERROR(G74/F74,"")</f>
        <v/>
      </c>
      <c r="K74" s="7">
        <f>IFERROR(H74/G74,"")</f>
        <v/>
      </c>
    </row>
    <row r="75">
      <c r="B75" s="6" t="n"/>
      <c r="H75" s="7" t="n"/>
      <c r="I75" s="13">
        <f>IFERROR(F75/E75,"")</f>
        <v/>
      </c>
      <c r="J75" s="13">
        <f>IFERROR(G75/F75,"")</f>
        <v/>
      </c>
      <c r="K75" s="7">
        <f>IFERROR(H75/G75,"")</f>
        <v/>
      </c>
    </row>
    <row r="76">
      <c r="B76" s="6" t="n"/>
      <c r="H76" s="7" t="n"/>
      <c r="I76" s="13">
        <f>IFERROR(F76/E76,"")</f>
        <v/>
      </c>
      <c r="J76" s="13">
        <f>IFERROR(G76/F76,"")</f>
        <v/>
      </c>
      <c r="K76" s="7">
        <f>IFERROR(H76/G76,"")</f>
        <v/>
      </c>
    </row>
    <row r="77">
      <c r="B77" s="6" t="n"/>
      <c r="H77" s="7" t="n"/>
      <c r="I77" s="13">
        <f>IFERROR(F77/E77,"")</f>
        <v/>
      </c>
      <c r="J77" s="13">
        <f>IFERROR(G77/F77,"")</f>
        <v/>
      </c>
      <c r="K77" s="7">
        <f>IFERROR(H77/G77,"")</f>
        <v/>
      </c>
    </row>
    <row r="78">
      <c r="B78" s="6" t="n"/>
      <c r="H78" s="7" t="n"/>
      <c r="I78" s="13">
        <f>IFERROR(F78/E78,"")</f>
        <v/>
      </c>
      <c r="J78" s="13">
        <f>IFERROR(G78/F78,"")</f>
        <v/>
      </c>
      <c r="K78" s="7">
        <f>IFERROR(H78/G78,"")</f>
        <v/>
      </c>
    </row>
    <row r="79">
      <c r="B79" s="6" t="n"/>
      <c r="H79" s="7" t="n"/>
      <c r="I79" s="13">
        <f>IFERROR(F79/E79,"")</f>
        <v/>
      </c>
      <c r="J79" s="13">
        <f>IFERROR(G79/F79,"")</f>
        <v/>
      </c>
      <c r="K79" s="7">
        <f>IFERROR(H79/G79,"")</f>
        <v/>
      </c>
    </row>
    <row r="80">
      <c r="B80" s="6" t="n"/>
      <c r="H80" s="7" t="n"/>
      <c r="I80" s="13">
        <f>IFERROR(F80/E80,"")</f>
        <v/>
      </c>
      <c r="J80" s="13">
        <f>IFERROR(G80/F80,"")</f>
        <v/>
      </c>
      <c r="K80" s="7">
        <f>IFERROR(H80/G80,"")</f>
        <v/>
      </c>
    </row>
    <row r="81">
      <c r="B81" s="6" t="n"/>
      <c r="H81" s="7" t="n"/>
      <c r="I81" s="13">
        <f>IFERROR(F81/E81,"")</f>
        <v/>
      </c>
      <c r="J81" s="13">
        <f>IFERROR(G81/F81,"")</f>
        <v/>
      </c>
      <c r="K81" s="7">
        <f>IFERROR(H81/G81,"")</f>
        <v/>
      </c>
    </row>
    <row r="82">
      <c r="B82" s="6" t="n"/>
      <c r="H82" s="7" t="n"/>
      <c r="I82" s="13">
        <f>IFERROR(F82/E82,"")</f>
        <v/>
      </c>
      <c r="J82" s="13">
        <f>IFERROR(G82/F82,"")</f>
        <v/>
      </c>
      <c r="K82" s="7">
        <f>IFERROR(H82/G82,"")</f>
        <v/>
      </c>
    </row>
    <row r="83">
      <c r="B83" s="6" t="n"/>
      <c r="H83" s="7" t="n"/>
      <c r="I83" s="13">
        <f>IFERROR(F83/E83,"")</f>
        <v/>
      </c>
      <c r="J83" s="13">
        <f>IFERROR(G83/F83,"")</f>
        <v/>
      </c>
      <c r="K83" s="7">
        <f>IFERROR(H83/G83,"")</f>
        <v/>
      </c>
    </row>
    <row r="84">
      <c r="B84" s="6" t="n"/>
      <c r="H84" s="7" t="n"/>
      <c r="I84" s="13">
        <f>IFERROR(F84/E84,"")</f>
        <v/>
      </c>
      <c r="J84" s="13">
        <f>IFERROR(G84/F84,"")</f>
        <v/>
      </c>
      <c r="K84" s="7">
        <f>IFERROR(H84/G84,"")</f>
        <v/>
      </c>
    </row>
    <row r="85">
      <c r="B85" s="6" t="n"/>
      <c r="H85" s="7" t="n"/>
      <c r="I85" s="13">
        <f>IFERROR(F85/E85,"")</f>
        <v/>
      </c>
      <c r="J85" s="13">
        <f>IFERROR(G85/F85,"")</f>
        <v/>
      </c>
      <c r="K85" s="7">
        <f>IFERROR(H85/G85,"")</f>
        <v/>
      </c>
    </row>
    <row r="86">
      <c r="B86" s="6" t="n"/>
      <c r="H86" s="7" t="n"/>
      <c r="I86" s="13">
        <f>IFERROR(F86/E86,"")</f>
        <v/>
      </c>
      <c r="J86" s="13">
        <f>IFERROR(G86/F86,"")</f>
        <v/>
      </c>
      <c r="K86" s="7">
        <f>IFERROR(H86/G86,"")</f>
        <v/>
      </c>
    </row>
    <row r="87">
      <c r="B87" s="6" t="n"/>
      <c r="H87" s="7" t="n"/>
      <c r="I87" s="13">
        <f>IFERROR(F87/E87,"")</f>
        <v/>
      </c>
      <c r="J87" s="13">
        <f>IFERROR(G87/F87,"")</f>
        <v/>
      </c>
      <c r="K87" s="7">
        <f>IFERROR(H87/G87,"")</f>
        <v/>
      </c>
    </row>
    <row r="88">
      <c r="B88" s="6" t="n"/>
      <c r="H88" s="7" t="n"/>
      <c r="I88" s="13">
        <f>IFERROR(F88/E88,"")</f>
        <v/>
      </c>
      <c r="J88" s="13">
        <f>IFERROR(G88/F88,"")</f>
        <v/>
      </c>
      <c r="K88" s="7">
        <f>IFERROR(H88/G88,"")</f>
        <v/>
      </c>
    </row>
    <row r="89">
      <c r="B89" s="6" t="n"/>
      <c r="H89" s="7" t="n"/>
      <c r="I89" s="13">
        <f>IFERROR(F89/E89,"")</f>
        <v/>
      </c>
      <c r="J89" s="13">
        <f>IFERROR(G89/F89,"")</f>
        <v/>
      </c>
      <c r="K89" s="7">
        <f>IFERROR(H89/G89,"")</f>
        <v/>
      </c>
    </row>
    <row r="90">
      <c r="B90" s="6" t="n"/>
      <c r="H90" s="7" t="n"/>
      <c r="I90" s="13">
        <f>IFERROR(F90/E90,"")</f>
        <v/>
      </c>
      <c r="J90" s="13">
        <f>IFERROR(G90/F90,"")</f>
        <v/>
      </c>
      <c r="K90" s="7">
        <f>IFERROR(H90/G90,"")</f>
        <v/>
      </c>
    </row>
    <row r="91">
      <c r="B91" s="6" t="n"/>
      <c r="H91" s="7" t="n"/>
      <c r="I91" s="13">
        <f>IFERROR(F91/E91,"")</f>
        <v/>
      </c>
      <c r="J91" s="13">
        <f>IFERROR(G91/F91,"")</f>
        <v/>
      </c>
      <c r="K91" s="7">
        <f>IFERROR(H91/G91,"")</f>
        <v/>
      </c>
    </row>
    <row r="92">
      <c r="B92" s="6" t="n"/>
      <c r="H92" s="7" t="n"/>
      <c r="I92" s="13">
        <f>IFERROR(F92/E92,"")</f>
        <v/>
      </c>
      <c r="J92" s="13">
        <f>IFERROR(G92/F92,"")</f>
        <v/>
      </c>
      <c r="K92" s="7">
        <f>IFERROR(H92/G92,"")</f>
        <v/>
      </c>
    </row>
    <row r="93">
      <c r="B93" s="6" t="n"/>
      <c r="H93" s="7" t="n"/>
      <c r="I93" s="13">
        <f>IFERROR(F93/E93,"")</f>
        <v/>
      </c>
      <c r="J93" s="13">
        <f>IFERROR(G93/F93,"")</f>
        <v/>
      </c>
      <c r="K93" s="7">
        <f>IFERROR(H93/G93,"")</f>
        <v/>
      </c>
    </row>
    <row r="94">
      <c r="B94" s="6" t="n"/>
      <c r="H94" s="7" t="n"/>
      <c r="I94" s="13">
        <f>IFERROR(F94/E94,"")</f>
        <v/>
      </c>
      <c r="J94" s="13">
        <f>IFERROR(G94/F94,"")</f>
        <v/>
      </c>
      <c r="K94" s="7">
        <f>IFERROR(H94/G94,"")</f>
        <v/>
      </c>
    </row>
    <row r="95">
      <c r="B95" s="6" t="n"/>
      <c r="H95" s="7" t="n"/>
      <c r="I95" s="13">
        <f>IFERROR(F95/E95,"")</f>
        <v/>
      </c>
      <c r="J95" s="13">
        <f>IFERROR(G95/F95,"")</f>
        <v/>
      </c>
      <c r="K95" s="7">
        <f>IFERROR(H95/G95,"")</f>
        <v/>
      </c>
    </row>
    <row r="96">
      <c r="B96" s="6" t="n"/>
      <c r="H96" s="7" t="n"/>
      <c r="I96" s="13">
        <f>IFERROR(F96/E96,"")</f>
        <v/>
      </c>
      <c r="J96" s="13">
        <f>IFERROR(G96/F96,"")</f>
        <v/>
      </c>
      <c r="K96" s="7">
        <f>IFERROR(H96/G96,"")</f>
        <v/>
      </c>
    </row>
    <row r="97">
      <c r="B97" s="6" t="n"/>
      <c r="H97" s="7" t="n"/>
      <c r="I97" s="13">
        <f>IFERROR(F97/E97,"")</f>
        <v/>
      </c>
      <c r="J97" s="13">
        <f>IFERROR(G97/F97,"")</f>
        <v/>
      </c>
      <c r="K97" s="7">
        <f>IFERROR(H97/G97,"")</f>
        <v/>
      </c>
    </row>
    <row r="98">
      <c r="B98" s="6" t="n"/>
      <c r="H98" s="7" t="n"/>
      <c r="I98" s="13">
        <f>IFERROR(F98/E98,"")</f>
        <v/>
      </c>
      <c r="J98" s="13">
        <f>IFERROR(G98/F98,"")</f>
        <v/>
      </c>
      <c r="K98" s="7">
        <f>IFERROR(H98/G98,"")</f>
        <v/>
      </c>
    </row>
    <row r="99">
      <c r="B99" s="6" t="n"/>
      <c r="H99" s="7" t="n"/>
      <c r="I99" s="13">
        <f>IFERROR(F99/E99,"")</f>
        <v/>
      </c>
      <c r="J99" s="13">
        <f>IFERROR(G99/F99,"")</f>
        <v/>
      </c>
      <c r="K99" s="7">
        <f>IFERROR(H99/G99,"")</f>
        <v/>
      </c>
    </row>
    <row r="100">
      <c r="B100" s="6" t="n"/>
      <c r="H100" s="7" t="n"/>
      <c r="I100" s="13">
        <f>IFERROR(F100/E100,"")</f>
        <v/>
      </c>
      <c r="J100" s="13">
        <f>IFERROR(G100/F100,"")</f>
        <v/>
      </c>
      <c r="K100" s="7">
        <f>IFERROR(H100/G100,"")</f>
        <v/>
      </c>
    </row>
    <row r="101">
      <c r="B101" s="6" t="n"/>
      <c r="H101" s="7" t="n"/>
      <c r="I101" s="13">
        <f>IFERROR(F101/E101,"")</f>
        <v/>
      </c>
      <c r="J101" s="13">
        <f>IFERROR(G101/F101,"")</f>
        <v/>
      </c>
      <c r="K101" s="7">
        <f>IFERROR(H101/G101,"")</f>
        <v/>
      </c>
    </row>
    <row r="102">
      <c r="B102" s="6" t="n"/>
      <c r="H102" s="7" t="n"/>
      <c r="I102" s="13">
        <f>IFERROR(F102/E102,"")</f>
        <v/>
      </c>
      <c r="J102" s="13">
        <f>IFERROR(G102/F102,"")</f>
        <v/>
      </c>
      <c r="K102" s="7">
        <f>IFERROR(H102/G102,"")</f>
        <v/>
      </c>
    </row>
    <row r="103">
      <c r="B103" s="6" t="n"/>
      <c r="H103" s="7" t="n"/>
      <c r="I103" s="13">
        <f>IFERROR(F103/E103,"")</f>
        <v/>
      </c>
      <c r="J103" s="13">
        <f>IFERROR(G103/F103,"")</f>
        <v/>
      </c>
      <c r="K103" s="7">
        <f>IFERROR(H103/G103,"")</f>
        <v/>
      </c>
    </row>
    <row r="104">
      <c r="B104" s="6" t="n"/>
      <c r="H104" s="7" t="n"/>
      <c r="I104" s="13">
        <f>IFERROR(F104/E104,"")</f>
        <v/>
      </c>
      <c r="J104" s="13">
        <f>IFERROR(G104/F104,"")</f>
        <v/>
      </c>
      <c r="K104" s="7">
        <f>IFERROR(H104/G104,"")</f>
        <v/>
      </c>
    </row>
    <row r="105">
      <c r="B105" s="6" t="n"/>
      <c r="H105" s="7" t="n"/>
      <c r="I105" s="13">
        <f>IFERROR(F105/E105,"")</f>
        <v/>
      </c>
      <c r="J105" s="13">
        <f>IFERROR(G105/F105,"")</f>
        <v/>
      </c>
      <c r="K105" s="7">
        <f>IFERROR(H105/G105,"")</f>
        <v/>
      </c>
    </row>
    <row r="106">
      <c r="B106" s="6" t="n"/>
      <c r="H106" s="7" t="n"/>
      <c r="I106" s="13">
        <f>IFERROR(F106/E106,"")</f>
        <v/>
      </c>
      <c r="J106" s="13">
        <f>IFERROR(G106/F106,"")</f>
        <v/>
      </c>
      <c r="K106" s="7">
        <f>IFERROR(H106/G106,"")</f>
        <v/>
      </c>
    </row>
    <row r="107">
      <c r="B107" s="6" t="n"/>
      <c r="H107" s="7" t="n"/>
      <c r="I107" s="13">
        <f>IFERROR(F107/E107,"")</f>
        <v/>
      </c>
      <c r="J107" s="13">
        <f>IFERROR(G107/F107,"")</f>
        <v/>
      </c>
      <c r="K107" s="7">
        <f>IFERROR(H107/G107,"")</f>
        <v/>
      </c>
    </row>
    <row r="108">
      <c r="B108" s="6" t="n"/>
      <c r="H108" s="7" t="n"/>
      <c r="I108" s="13">
        <f>IFERROR(F108/E108,"")</f>
        <v/>
      </c>
      <c r="J108" s="13">
        <f>IFERROR(G108/F108,"")</f>
        <v/>
      </c>
      <c r="K108" s="7">
        <f>IFERROR(H108/G108,"")</f>
        <v/>
      </c>
    </row>
    <row r="109">
      <c r="B109" s="6" t="n"/>
      <c r="H109" s="7" t="n"/>
      <c r="I109" s="13">
        <f>IFERROR(F109/E109,"")</f>
        <v/>
      </c>
      <c r="J109" s="13">
        <f>IFERROR(G109/F109,"")</f>
        <v/>
      </c>
      <c r="K109" s="7">
        <f>IFERROR(H109/G109,"")</f>
        <v/>
      </c>
    </row>
    <row r="110">
      <c r="B110" s="6" t="n"/>
      <c r="H110" s="7" t="n"/>
      <c r="I110" s="13">
        <f>IFERROR(F110/E110,"")</f>
        <v/>
      </c>
      <c r="J110" s="13">
        <f>IFERROR(G110/F110,"")</f>
        <v/>
      </c>
      <c r="K110" s="7">
        <f>IFERROR(H110/G110,"")</f>
        <v/>
      </c>
    </row>
    <row r="111">
      <c r="B111" s="6" t="n"/>
      <c r="H111" s="7" t="n"/>
      <c r="I111" s="13">
        <f>IFERROR(F111/E111,"")</f>
        <v/>
      </c>
      <c r="J111" s="13">
        <f>IFERROR(G111/F111,"")</f>
        <v/>
      </c>
      <c r="K111" s="7">
        <f>IFERROR(H111/G111,"")</f>
        <v/>
      </c>
    </row>
    <row r="112">
      <c r="B112" s="6" t="n"/>
      <c r="H112" s="7" t="n"/>
      <c r="I112" s="13">
        <f>IFERROR(F112/E112,"")</f>
        <v/>
      </c>
      <c r="J112" s="13">
        <f>IFERROR(G112/F112,"")</f>
        <v/>
      </c>
      <c r="K112" s="7">
        <f>IFERROR(H112/G112,"")</f>
        <v/>
      </c>
    </row>
    <row r="113">
      <c r="B113" s="6" t="n"/>
      <c r="H113" s="7" t="n"/>
      <c r="I113" s="13">
        <f>IFERROR(F113/E113,"")</f>
        <v/>
      </c>
      <c r="J113" s="13">
        <f>IFERROR(G113/F113,"")</f>
        <v/>
      </c>
      <c r="K113" s="7">
        <f>IFERROR(H113/G113,"")</f>
        <v/>
      </c>
    </row>
    <row r="114">
      <c r="B114" s="6" t="n"/>
      <c r="H114" s="7" t="n"/>
      <c r="I114" s="13">
        <f>IFERROR(F114/E114,"")</f>
        <v/>
      </c>
      <c r="J114" s="13">
        <f>IFERROR(G114/F114,"")</f>
        <v/>
      </c>
      <c r="K114" s="7">
        <f>IFERROR(H114/G114,"")</f>
        <v/>
      </c>
    </row>
    <row r="115">
      <c r="B115" s="6" t="n"/>
      <c r="H115" s="7" t="n"/>
      <c r="I115" s="13">
        <f>IFERROR(F115/E115,"")</f>
        <v/>
      </c>
      <c r="J115" s="13">
        <f>IFERROR(G115/F115,"")</f>
        <v/>
      </c>
      <c r="K115" s="7">
        <f>IFERROR(H115/G115,"")</f>
        <v/>
      </c>
    </row>
    <row r="116">
      <c r="B116" s="6" t="n"/>
      <c r="H116" s="7" t="n"/>
      <c r="I116" s="13">
        <f>IFERROR(F116/E116,"")</f>
        <v/>
      </c>
      <c r="J116" s="13">
        <f>IFERROR(G116/F116,"")</f>
        <v/>
      </c>
      <c r="K116" s="7">
        <f>IFERROR(H116/G116,"")</f>
        <v/>
      </c>
    </row>
    <row r="117">
      <c r="B117" s="6" t="n"/>
      <c r="H117" s="7" t="n"/>
      <c r="I117" s="13">
        <f>IFERROR(F117/E117,"")</f>
        <v/>
      </c>
      <c r="J117" s="13">
        <f>IFERROR(G117/F117,"")</f>
        <v/>
      </c>
      <c r="K117" s="7">
        <f>IFERROR(H117/G117,"")</f>
        <v/>
      </c>
    </row>
    <row r="118">
      <c r="B118" s="6" t="n"/>
      <c r="H118" s="7" t="n"/>
      <c r="I118" s="13">
        <f>IFERROR(F118/E118,"")</f>
        <v/>
      </c>
      <c r="J118" s="13">
        <f>IFERROR(G118/F118,"")</f>
        <v/>
      </c>
      <c r="K118" s="7">
        <f>IFERROR(H118/G118,"")</f>
        <v/>
      </c>
    </row>
    <row r="119">
      <c r="B119" s="6" t="n"/>
      <c r="H119" s="7" t="n"/>
      <c r="I119" s="13">
        <f>IFERROR(F119/E119,"")</f>
        <v/>
      </c>
      <c r="J119" s="13">
        <f>IFERROR(G119/F119,"")</f>
        <v/>
      </c>
      <c r="K119" s="7">
        <f>IFERROR(H119/G119,"")</f>
        <v/>
      </c>
    </row>
    <row r="122">
      <c r="A122" s="8" t="inlineStr">
        <is>
          <t>SEGMENTO: usar sempre o mesmo vocabulário — ATIVO, MORNO, DORMENTE, ANIVERSARIO, POS-COMPRA, CATEGORIA:&lt;nome&gt;.</t>
        </is>
      </c>
    </row>
    <row r="123">
      <c r="A123" s="8" t="inlineStr">
        <is>
          <t>É esta coluna que, somada nos 15 clientes, vira o benchmark de setor da Expansion.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5" customWidth="1" min="5" max="5"/>
    <col width="15" customWidth="1" min="6" max="6"/>
    <col width="44" customWidth="1" min="7" max="7"/>
  </cols>
  <sheetData>
    <row r="1">
      <c r="A1" s="5" t="inlineStr">
        <is>
          <t>EVENTO_ID</t>
        </is>
      </c>
      <c r="B1" s="5" t="inlineStr">
        <is>
          <t>DATA</t>
        </is>
      </c>
      <c r="C1" s="5" t="inlineStr">
        <is>
          <t>CONTATO_ID</t>
        </is>
      </c>
      <c r="D1" s="5" t="inlineStr">
        <is>
          <t>TIPO</t>
        </is>
      </c>
      <c r="E1" s="5" t="inlineStr">
        <is>
          <t>CAMPANHA_ID</t>
        </is>
      </c>
      <c r="F1" s="5" t="inlineStr">
        <is>
          <t>VALOR_VENDA</t>
        </is>
      </c>
      <c r="G1" s="5" t="inlineStr">
        <is>
          <t>OBS</t>
        </is>
      </c>
    </row>
    <row r="2">
      <c r="B2" s="6" t="n"/>
      <c r="F2" s="7" t="n"/>
    </row>
    <row r="3">
      <c r="B3" s="6" t="n"/>
      <c r="F3" s="7" t="n"/>
    </row>
    <row r="4">
      <c r="B4" s="6" t="n"/>
      <c r="F4" s="7" t="n"/>
    </row>
    <row r="5">
      <c r="B5" s="6" t="n"/>
      <c r="F5" s="7" t="n"/>
    </row>
    <row r="6">
      <c r="B6" s="6" t="n"/>
      <c r="F6" s="7" t="n"/>
    </row>
    <row r="7">
      <c r="B7" s="6" t="n"/>
      <c r="F7" s="7" t="n"/>
    </row>
    <row r="8">
      <c r="B8" s="6" t="n"/>
      <c r="F8" s="7" t="n"/>
    </row>
    <row r="9">
      <c r="B9" s="6" t="n"/>
      <c r="F9" s="7" t="n"/>
    </row>
    <row r="10">
      <c r="B10" s="6" t="n"/>
      <c r="F10" s="7" t="n"/>
    </row>
    <row r="11">
      <c r="B11" s="6" t="n"/>
      <c r="F11" s="7" t="n"/>
    </row>
    <row r="12">
      <c r="B12" s="6" t="n"/>
      <c r="F12" s="7" t="n"/>
    </row>
    <row r="13">
      <c r="B13" s="6" t="n"/>
      <c r="F13" s="7" t="n"/>
    </row>
    <row r="14">
      <c r="B14" s="6" t="n"/>
      <c r="F14" s="7" t="n"/>
    </row>
    <row r="15">
      <c r="B15" s="6" t="n"/>
      <c r="F15" s="7" t="n"/>
    </row>
    <row r="16">
      <c r="B16" s="6" t="n"/>
      <c r="F16" s="7" t="n"/>
    </row>
    <row r="17">
      <c r="B17" s="6" t="n"/>
      <c r="F17" s="7" t="n"/>
    </row>
    <row r="18">
      <c r="B18" s="6" t="n"/>
      <c r="F18" s="7" t="n"/>
    </row>
    <row r="19">
      <c r="B19" s="6" t="n"/>
      <c r="F19" s="7" t="n"/>
    </row>
    <row r="20">
      <c r="B20" s="6" t="n"/>
      <c r="F20" s="7" t="n"/>
    </row>
    <row r="21">
      <c r="B21" s="6" t="n"/>
      <c r="F21" s="7" t="n"/>
    </row>
    <row r="22">
      <c r="B22" s="6" t="n"/>
      <c r="F22" s="7" t="n"/>
    </row>
    <row r="23">
      <c r="B23" s="6" t="n"/>
      <c r="F23" s="7" t="n"/>
    </row>
    <row r="24">
      <c r="B24" s="6" t="n"/>
      <c r="F24" s="7" t="n"/>
    </row>
    <row r="25">
      <c r="B25" s="6" t="n"/>
      <c r="F25" s="7" t="n"/>
    </row>
    <row r="26">
      <c r="B26" s="6" t="n"/>
      <c r="F26" s="7" t="n"/>
    </row>
    <row r="27">
      <c r="B27" s="6" t="n"/>
      <c r="F27" s="7" t="n"/>
    </row>
    <row r="28">
      <c r="B28" s="6" t="n"/>
      <c r="F28" s="7" t="n"/>
    </row>
    <row r="29">
      <c r="B29" s="6" t="n"/>
      <c r="F29" s="7" t="n"/>
    </row>
    <row r="30">
      <c r="B30" s="6" t="n"/>
      <c r="F30" s="7" t="n"/>
    </row>
    <row r="31">
      <c r="B31" s="6" t="n"/>
      <c r="F31" s="7" t="n"/>
    </row>
    <row r="32">
      <c r="B32" s="6" t="n"/>
      <c r="F32" s="7" t="n"/>
    </row>
    <row r="33">
      <c r="B33" s="6" t="n"/>
      <c r="F33" s="7" t="n"/>
    </row>
    <row r="34">
      <c r="B34" s="6" t="n"/>
      <c r="F34" s="7" t="n"/>
    </row>
    <row r="35">
      <c r="B35" s="6" t="n"/>
      <c r="F35" s="7" t="n"/>
    </row>
    <row r="36">
      <c r="B36" s="6" t="n"/>
      <c r="F36" s="7" t="n"/>
    </row>
    <row r="37">
      <c r="B37" s="6" t="n"/>
      <c r="F37" s="7" t="n"/>
    </row>
    <row r="38">
      <c r="B38" s="6" t="n"/>
      <c r="F38" s="7" t="n"/>
    </row>
    <row r="39">
      <c r="B39" s="6" t="n"/>
      <c r="F39" s="7" t="n"/>
    </row>
    <row r="40">
      <c r="B40" s="6" t="n"/>
      <c r="F40" s="7" t="n"/>
    </row>
    <row r="41">
      <c r="B41" s="6" t="n"/>
      <c r="F41" s="7" t="n"/>
    </row>
    <row r="42">
      <c r="B42" s="6" t="n"/>
      <c r="F42" s="7" t="n"/>
    </row>
    <row r="43">
      <c r="B43" s="6" t="n"/>
      <c r="F43" s="7" t="n"/>
    </row>
    <row r="44">
      <c r="B44" s="6" t="n"/>
      <c r="F44" s="7" t="n"/>
    </row>
    <row r="45">
      <c r="B45" s="6" t="n"/>
      <c r="F45" s="7" t="n"/>
    </row>
    <row r="46">
      <c r="B46" s="6" t="n"/>
      <c r="F46" s="7" t="n"/>
    </row>
    <row r="47">
      <c r="B47" s="6" t="n"/>
      <c r="F47" s="7" t="n"/>
    </row>
    <row r="48">
      <c r="B48" s="6" t="n"/>
      <c r="F48" s="7" t="n"/>
    </row>
    <row r="49">
      <c r="B49" s="6" t="n"/>
      <c r="F49" s="7" t="n"/>
    </row>
    <row r="50">
      <c r="B50" s="6" t="n"/>
      <c r="F50" s="7" t="n"/>
    </row>
    <row r="51">
      <c r="B51" s="6" t="n"/>
      <c r="F51" s="7" t="n"/>
    </row>
    <row r="52">
      <c r="B52" s="6" t="n"/>
      <c r="F52" s="7" t="n"/>
    </row>
    <row r="53">
      <c r="B53" s="6" t="n"/>
      <c r="F53" s="7" t="n"/>
    </row>
    <row r="54">
      <c r="B54" s="6" t="n"/>
      <c r="F54" s="7" t="n"/>
    </row>
    <row r="55">
      <c r="B55" s="6" t="n"/>
      <c r="F55" s="7" t="n"/>
    </row>
    <row r="56">
      <c r="B56" s="6" t="n"/>
      <c r="F56" s="7" t="n"/>
    </row>
    <row r="57">
      <c r="B57" s="6" t="n"/>
      <c r="F57" s="7" t="n"/>
    </row>
    <row r="58">
      <c r="B58" s="6" t="n"/>
      <c r="F58" s="7" t="n"/>
    </row>
    <row r="59">
      <c r="B59" s="6" t="n"/>
      <c r="F59" s="7" t="n"/>
    </row>
    <row r="60">
      <c r="B60" s="6" t="n"/>
      <c r="F60" s="7" t="n"/>
    </row>
    <row r="61">
      <c r="B61" s="6" t="n"/>
      <c r="F61" s="7" t="n"/>
    </row>
    <row r="62">
      <c r="B62" s="6" t="n"/>
      <c r="F62" s="7" t="n"/>
    </row>
    <row r="63">
      <c r="B63" s="6" t="n"/>
      <c r="F63" s="7" t="n"/>
    </row>
    <row r="64">
      <c r="B64" s="6" t="n"/>
      <c r="F64" s="7" t="n"/>
    </row>
    <row r="65">
      <c r="B65" s="6" t="n"/>
      <c r="F65" s="7" t="n"/>
    </row>
    <row r="66">
      <c r="B66" s="6" t="n"/>
      <c r="F66" s="7" t="n"/>
    </row>
    <row r="67">
      <c r="B67" s="6" t="n"/>
      <c r="F67" s="7" t="n"/>
    </row>
    <row r="68">
      <c r="B68" s="6" t="n"/>
      <c r="F68" s="7" t="n"/>
    </row>
    <row r="69">
      <c r="B69" s="6" t="n"/>
      <c r="F69" s="7" t="n"/>
    </row>
    <row r="70">
      <c r="B70" s="6" t="n"/>
      <c r="F70" s="7" t="n"/>
    </row>
    <row r="71">
      <c r="B71" s="6" t="n"/>
      <c r="F71" s="7" t="n"/>
    </row>
    <row r="72">
      <c r="B72" s="6" t="n"/>
      <c r="F72" s="7" t="n"/>
    </row>
    <row r="73">
      <c r="B73" s="6" t="n"/>
      <c r="F73" s="7" t="n"/>
    </row>
    <row r="74">
      <c r="B74" s="6" t="n"/>
      <c r="F74" s="7" t="n"/>
    </row>
    <row r="75">
      <c r="B75" s="6" t="n"/>
      <c r="F75" s="7" t="n"/>
    </row>
    <row r="76">
      <c r="B76" s="6" t="n"/>
      <c r="F76" s="7" t="n"/>
    </row>
    <row r="77">
      <c r="B77" s="6" t="n"/>
      <c r="F77" s="7" t="n"/>
    </row>
    <row r="78">
      <c r="B78" s="6" t="n"/>
      <c r="F78" s="7" t="n"/>
    </row>
    <row r="79">
      <c r="B79" s="6" t="n"/>
      <c r="F79" s="7" t="n"/>
    </row>
    <row r="80">
      <c r="B80" s="6" t="n"/>
      <c r="F80" s="7" t="n"/>
    </row>
    <row r="81">
      <c r="B81" s="6" t="n"/>
      <c r="F81" s="7" t="n"/>
    </row>
    <row r="82">
      <c r="B82" s="6" t="n"/>
      <c r="F82" s="7" t="n"/>
    </row>
    <row r="83">
      <c r="B83" s="6" t="n"/>
      <c r="F83" s="7" t="n"/>
    </row>
    <row r="84">
      <c r="B84" s="6" t="n"/>
      <c r="F84" s="7" t="n"/>
    </row>
    <row r="85">
      <c r="B85" s="6" t="n"/>
      <c r="F85" s="7" t="n"/>
    </row>
    <row r="86">
      <c r="B86" s="6" t="n"/>
      <c r="F86" s="7" t="n"/>
    </row>
    <row r="87">
      <c r="B87" s="6" t="n"/>
      <c r="F87" s="7" t="n"/>
    </row>
    <row r="88">
      <c r="B88" s="6" t="n"/>
      <c r="F88" s="7" t="n"/>
    </row>
    <row r="89">
      <c r="B89" s="6" t="n"/>
      <c r="F89" s="7" t="n"/>
    </row>
    <row r="90">
      <c r="B90" s="6" t="n"/>
      <c r="F90" s="7" t="n"/>
    </row>
    <row r="91">
      <c r="B91" s="6" t="n"/>
      <c r="F91" s="7" t="n"/>
    </row>
    <row r="92">
      <c r="B92" s="6" t="n"/>
      <c r="F92" s="7" t="n"/>
    </row>
    <row r="93">
      <c r="B93" s="6" t="n"/>
      <c r="F93" s="7" t="n"/>
    </row>
    <row r="94">
      <c r="B94" s="6" t="n"/>
      <c r="F94" s="7" t="n"/>
    </row>
    <row r="95">
      <c r="B95" s="6" t="n"/>
      <c r="F95" s="7" t="n"/>
    </row>
    <row r="96">
      <c r="B96" s="6" t="n"/>
      <c r="F96" s="7" t="n"/>
    </row>
    <row r="97">
      <c r="B97" s="6" t="n"/>
      <c r="F97" s="7" t="n"/>
    </row>
    <row r="98">
      <c r="B98" s="6" t="n"/>
      <c r="F98" s="7" t="n"/>
    </row>
    <row r="99">
      <c r="B99" s="6" t="n"/>
      <c r="F99" s="7" t="n"/>
    </row>
    <row r="100">
      <c r="B100" s="6" t="n"/>
      <c r="F100" s="7" t="n"/>
    </row>
    <row r="101">
      <c r="B101" s="6" t="n"/>
      <c r="F101" s="7" t="n"/>
    </row>
    <row r="102">
      <c r="B102" s="6" t="n"/>
      <c r="F102" s="7" t="n"/>
    </row>
    <row r="103">
      <c r="B103" s="6" t="n"/>
      <c r="F103" s="7" t="n"/>
    </row>
    <row r="104">
      <c r="B104" s="6" t="n"/>
      <c r="F104" s="7" t="n"/>
    </row>
    <row r="105">
      <c r="B105" s="6" t="n"/>
      <c r="F105" s="7" t="n"/>
    </row>
    <row r="106">
      <c r="B106" s="6" t="n"/>
      <c r="F106" s="7" t="n"/>
    </row>
    <row r="107">
      <c r="B107" s="6" t="n"/>
      <c r="F107" s="7" t="n"/>
    </row>
    <row r="108">
      <c r="B108" s="6" t="n"/>
      <c r="F108" s="7" t="n"/>
    </row>
    <row r="109">
      <c r="B109" s="6" t="n"/>
      <c r="F109" s="7" t="n"/>
    </row>
    <row r="110">
      <c r="B110" s="6" t="n"/>
      <c r="F110" s="7" t="n"/>
    </row>
    <row r="111">
      <c r="B111" s="6" t="n"/>
      <c r="F111" s="7" t="n"/>
    </row>
    <row r="112">
      <c r="B112" s="6" t="n"/>
      <c r="F112" s="7" t="n"/>
    </row>
    <row r="113">
      <c r="B113" s="6" t="n"/>
      <c r="F113" s="7" t="n"/>
    </row>
    <row r="114">
      <c r="B114" s="6" t="n"/>
      <c r="F114" s="7" t="n"/>
    </row>
    <row r="115">
      <c r="B115" s="6" t="n"/>
      <c r="F115" s="7" t="n"/>
    </row>
    <row r="116">
      <c r="B116" s="6" t="n"/>
      <c r="F116" s="7" t="n"/>
    </row>
    <row r="117">
      <c r="B117" s="6" t="n"/>
      <c r="F117" s="7" t="n"/>
    </row>
    <row r="118">
      <c r="B118" s="6" t="n"/>
      <c r="F118" s="7" t="n"/>
    </row>
    <row r="119">
      <c r="B119" s="6" t="n"/>
      <c r="F119" s="7" t="n"/>
    </row>
    <row r="120">
      <c r="B120" s="6" t="n"/>
      <c r="F120" s="7" t="n"/>
    </row>
    <row r="121">
      <c r="B121" s="6" t="n"/>
      <c r="F121" s="7" t="n"/>
    </row>
    <row r="122">
      <c r="B122" s="6" t="n"/>
      <c r="F122" s="7" t="n"/>
    </row>
    <row r="123">
      <c r="B123" s="6" t="n"/>
      <c r="F123" s="7" t="n"/>
    </row>
    <row r="124">
      <c r="B124" s="6" t="n"/>
      <c r="F124" s="7" t="n"/>
    </row>
    <row r="125">
      <c r="B125" s="6" t="n"/>
      <c r="F125" s="7" t="n"/>
    </row>
    <row r="126">
      <c r="B126" s="6" t="n"/>
      <c r="F126" s="7" t="n"/>
    </row>
    <row r="127">
      <c r="B127" s="6" t="n"/>
      <c r="F127" s="7" t="n"/>
    </row>
    <row r="128">
      <c r="B128" s="6" t="n"/>
      <c r="F128" s="7" t="n"/>
    </row>
    <row r="129">
      <c r="B129" s="6" t="n"/>
      <c r="F129" s="7" t="n"/>
    </row>
    <row r="130">
      <c r="B130" s="6" t="n"/>
      <c r="F130" s="7" t="n"/>
    </row>
    <row r="131">
      <c r="B131" s="6" t="n"/>
      <c r="F131" s="7" t="n"/>
    </row>
    <row r="132">
      <c r="B132" s="6" t="n"/>
      <c r="F132" s="7" t="n"/>
    </row>
    <row r="133">
      <c r="B133" s="6" t="n"/>
      <c r="F133" s="7" t="n"/>
    </row>
    <row r="134">
      <c r="B134" s="6" t="n"/>
      <c r="F134" s="7" t="n"/>
    </row>
    <row r="135">
      <c r="B135" s="6" t="n"/>
      <c r="F135" s="7" t="n"/>
    </row>
    <row r="136">
      <c r="B136" s="6" t="n"/>
      <c r="F136" s="7" t="n"/>
    </row>
    <row r="137">
      <c r="B137" s="6" t="n"/>
      <c r="F137" s="7" t="n"/>
    </row>
    <row r="138">
      <c r="B138" s="6" t="n"/>
      <c r="F138" s="7" t="n"/>
    </row>
    <row r="139">
      <c r="B139" s="6" t="n"/>
      <c r="F139" s="7" t="n"/>
    </row>
    <row r="140">
      <c r="B140" s="6" t="n"/>
      <c r="F140" s="7" t="n"/>
    </row>
    <row r="141">
      <c r="B141" s="6" t="n"/>
      <c r="F141" s="7" t="n"/>
    </row>
    <row r="142">
      <c r="B142" s="6" t="n"/>
      <c r="F142" s="7" t="n"/>
    </row>
    <row r="143">
      <c r="B143" s="6" t="n"/>
      <c r="F143" s="7" t="n"/>
    </row>
    <row r="144">
      <c r="B144" s="6" t="n"/>
      <c r="F144" s="7" t="n"/>
    </row>
    <row r="145">
      <c r="B145" s="6" t="n"/>
      <c r="F145" s="7" t="n"/>
    </row>
    <row r="146">
      <c r="B146" s="6" t="n"/>
      <c r="F146" s="7" t="n"/>
    </row>
    <row r="147">
      <c r="B147" s="6" t="n"/>
      <c r="F147" s="7" t="n"/>
    </row>
    <row r="148">
      <c r="B148" s="6" t="n"/>
      <c r="F148" s="7" t="n"/>
    </row>
    <row r="149">
      <c r="B149" s="6" t="n"/>
      <c r="F149" s="7" t="n"/>
    </row>
    <row r="150">
      <c r="B150" s="6" t="n"/>
      <c r="F150" s="7" t="n"/>
    </row>
    <row r="151">
      <c r="B151" s="6" t="n"/>
      <c r="F151" s="7" t="n"/>
    </row>
    <row r="152">
      <c r="B152" s="6" t="n"/>
      <c r="F152" s="7" t="n"/>
    </row>
    <row r="153">
      <c r="B153" s="6" t="n"/>
      <c r="F153" s="7" t="n"/>
    </row>
    <row r="154">
      <c r="B154" s="6" t="n"/>
      <c r="F154" s="7" t="n"/>
    </row>
    <row r="155">
      <c r="B155" s="6" t="n"/>
      <c r="F155" s="7" t="n"/>
    </row>
    <row r="156">
      <c r="B156" s="6" t="n"/>
      <c r="F156" s="7" t="n"/>
    </row>
    <row r="157">
      <c r="B157" s="6" t="n"/>
      <c r="F157" s="7" t="n"/>
    </row>
    <row r="158">
      <c r="B158" s="6" t="n"/>
      <c r="F158" s="7" t="n"/>
    </row>
    <row r="159">
      <c r="B159" s="6" t="n"/>
      <c r="F159" s="7" t="n"/>
    </row>
    <row r="160">
      <c r="B160" s="6" t="n"/>
      <c r="F160" s="7" t="n"/>
    </row>
    <row r="161">
      <c r="B161" s="6" t="n"/>
      <c r="F161" s="7" t="n"/>
    </row>
    <row r="162">
      <c r="B162" s="6" t="n"/>
      <c r="F162" s="7" t="n"/>
    </row>
    <row r="163">
      <c r="B163" s="6" t="n"/>
      <c r="F163" s="7" t="n"/>
    </row>
    <row r="164">
      <c r="B164" s="6" t="n"/>
      <c r="F164" s="7" t="n"/>
    </row>
    <row r="165">
      <c r="B165" s="6" t="n"/>
      <c r="F165" s="7" t="n"/>
    </row>
    <row r="166">
      <c r="B166" s="6" t="n"/>
      <c r="F166" s="7" t="n"/>
    </row>
    <row r="167">
      <c r="B167" s="6" t="n"/>
      <c r="F167" s="7" t="n"/>
    </row>
    <row r="168">
      <c r="B168" s="6" t="n"/>
      <c r="F168" s="7" t="n"/>
    </row>
    <row r="169">
      <c r="B169" s="6" t="n"/>
      <c r="F169" s="7" t="n"/>
    </row>
    <row r="170">
      <c r="B170" s="6" t="n"/>
      <c r="F170" s="7" t="n"/>
    </row>
    <row r="171">
      <c r="B171" s="6" t="n"/>
      <c r="F171" s="7" t="n"/>
    </row>
    <row r="172">
      <c r="B172" s="6" t="n"/>
      <c r="F172" s="7" t="n"/>
    </row>
    <row r="173">
      <c r="B173" s="6" t="n"/>
      <c r="F173" s="7" t="n"/>
    </row>
    <row r="174">
      <c r="B174" s="6" t="n"/>
      <c r="F174" s="7" t="n"/>
    </row>
    <row r="175">
      <c r="B175" s="6" t="n"/>
      <c r="F175" s="7" t="n"/>
    </row>
    <row r="176">
      <c r="B176" s="6" t="n"/>
      <c r="F176" s="7" t="n"/>
    </row>
    <row r="177">
      <c r="B177" s="6" t="n"/>
      <c r="F177" s="7" t="n"/>
    </row>
    <row r="178">
      <c r="B178" s="6" t="n"/>
      <c r="F178" s="7" t="n"/>
    </row>
    <row r="179">
      <c r="B179" s="6" t="n"/>
      <c r="F179" s="7" t="n"/>
    </row>
    <row r="180">
      <c r="B180" s="6" t="n"/>
      <c r="F180" s="7" t="n"/>
    </row>
    <row r="181">
      <c r="B181" s="6" t="n"/>
      <c r="F181" s="7" t="n"/>
    </row>
    <row r="182">
      <c r="B182" s="6" t="n"/>
      <c r="F182" s="7" t="n"/>
    </row>
    <row r="183">
      <c r="B183" s="6" t="n"/>
      <c r="F183" s="7" t="n"/>
    </row>
    <row r="184">
      <c r="B184" s="6" t="n"/>
      <c r="F184" s="7" t="n"/>
    </row>
    <row r="185">
      <c r="B185" s="6" t="n"/>
      <c r="F185" s="7" t="n"/>
    </row>
    <row r="186">
      <c r="B186" s="6" t="n"/>
      <c r="F186" s="7" t="n"/>
    </row>
    <row r="187">
      <c r="B187" s="6" t="n"/>
      <c r="F187" s="7" t="n"/>
    </row>
    <row r="188">
      <c r="B188" s="6" t="n"/>
      <c r="F188" s="7" t="n"/>
    </row>
    <row r="189">
      <c r="B189" s="6" t="n"/>
      <c r="F189" s="7" t="n"/>
    </row>
    <row r="190">
      <c r="B190" s="6" t="n"/>
      <c r="F190" s="7" t="n"/>
    </row>
    <row r="191">
      <c r="B191" s="6" t="n"/>
      <c r="F191" s="7" t="n"/>
    </row>
    <row r="192">
      <c r="B192" s="6" t="n"/>
      <c r="F192" s="7" t="n"/>
    </row>
    <row r="193">
      <c r="B193" s="6" t="n"/>
      <c r="F193" s="7" t="n"/>
    </row>
    <row r="194">
      <c r="B194" s="6" t="n"/>
      <c r="F194" s="7" t="n"/>
    </row>
    <row r="195">
      <c r="B195" s="6" t="n"/>
      <c r="F195" s="7" t="n"/>
    </row>
    <row r="196">
      <c r="B196" s="6" t="n"/>
      <c r="F196" s="7" t="n"/>
    </row>
    <row r="197">
      <c r="B197" s="6" t="n"/>
      <c r="F197" s="7" t="n"/>
    </row>
    <row r="198">
      <c r="B198" s="6" t="n"/>
      <c r="F198" s="7" t="n"/>
    </row>
    <row r="199">
      <c r="B199" s="6" t="n"/>
      <c r="F199" s="7" t="n"/>
    </row>
    <row r="200">
      <c r="B200" s="6" t="n"/>
      <c r="F200" s="7" t="n"/>
    </row>
    <row r="201">
      <c r="B201" s="6" t="n"/>
      <c r="F201" s="7" t="n"/>
    </row>
    <row r="202">
      <c r="B202" s="6" t="n"/>
      <c r="F202" s="7" t="n"/>
    </row>
    <row r="203">
      <c r="B203" s="6" t="n"/>
      <c r="F203" s="7" t="n"/>
    </row>
    <row r="204">
      <c r="B204" s="6" t="n"/>
      <c r="F204" s="7" t="n"/>
    </row>
    <row r="205">
      <c r="B205" s="6" t="n"/>
      <c r="F205" s="7" t="n"/>
    </row>
    <row r="206">
      <c r="B206" s="6" t="n"/>
      <c r="F206" s="7" t="n"/>
    </row>
    <row r="207">
      <c r="B207" s="6" t="n"/>
      <c r="F207" s="7" t="n"/>
    </row>
    <row r="208">
      <c r="B208" s="6" t="n"/>
      <c r="F208" s="7" t="n"/>
    </row>
    <row r="209">
      <c r="B209" s="6" t="n"/>
      <c r="F209" s="7" t="n"/>
    </row>
    <row r="210">
      <c r="B210" s="6" t="n"/>
      <c r="F210" s="7" t="n"/>
    </row>
    <row r="211">
      <c r="B211" s="6" t="n"/>
      <c r="F211" s="7" t="n"/>
    </row>
    <row r="212">
      <c r="B212" s="6" t="n"/>
      <c r="F212" s="7" t="n"/>
    </row>
    <row r="213">
      <c r="B213" s="6" t="n"/>
      <c r="F213" s="7" t="n"/>
    </row>
    <row r="214">
      <c r="B214" s="6" t="n"/>
      <c r="F214" s="7" t="n"/>
    </row>
    <row r="215">
      <c r="B215" s="6" t="n"/>
      <c r="F215" s="7" t="n"/>
    </row>
    <row r="216">
      <c r="B216" s="6" t="n"/>
      <c r="F216" s="7" t="n"/>
    </row>
    <row r="217">
      <c r="B217" s="6" t="n"/>
      <c r="F217" s="7" t="n"/>
    </row>
    <row r="218">
      <c r="B218" s="6" t="n"/>
      <c r="F218" s="7" t="n"/>
    </row>
    <row r="219">
      <c r="B219" s="6" t="n"/>
      <c r="F219" s="7" t="n"/>
    </row>
    <row r="220">
      <c r="B220" s="6" t="n"/>
      <c r="F220" s="7" t="n"/>
    </row>
    <row r="221">
      <c r="B221" s="6" t="n"/>
      <c r="F221" s="7" t="n"/>
    </row>
    <row r="222">
      <c r="B222" s="6" t="n"/>
      <c r="F222" s="7" t="n"/>
    </row>
    <row r="223">
      <c r="B223" s="6" t="n"/>
      <c r="F223" s="7" t="n"/>
    </row>
    <row r="224">
      <c r="B224" s="6" t="n"/>
      <c r="F224" s="7" t="n"/>
    </row>
    <row r="225">
      <c r="B225" s="6" t="n"/>
      <c r="F225" s="7" t="n"/>
    </row>
    <row r="226">
      <c r="B226" s="6" t="n"/>
      <c r="F226" s="7" t="n"/>
    </row>
    <row r="227">
      <c r="B227" s="6" t="n"/>
      <c r="F227" s="7" t="n"/>
    </row>
    <row r="228">
      <c r="B228" s="6" t="n"/>
      <c r="F228" s="7" t="n"/>
    </row>
    <row r="229">
      <c r="B229" s="6" t="n"/>
      <c r="F229" s="7" t="n"/>
    </row>
    <row r="230">
      <c r="B230" s="6" t="n"/>
      <c r="F230" s="7" t="n"/>
    </row>
    <row r="231">
      <c r="B231" s="6" t="n"/>
      <c r="F231" s="7" t="n"/>
    </row>
    <row r="232">
      <c r="B232" s="6" t="n"/>
      <c r="F232" s="7" t="n"/>
    </row>
    <row r="233">
      <c r="B233" s="6" t="n"/>
      <c r="F233" s="7" t="n"/>
    </row>
    <row r="234">
      <c r="B234" s="6" t="n"/>
      <c r="F234" s="7" t="n"/>
    </row>
    <row r="235">
      <c r="B235" s="6" t="n"/>
      <c r="F235" s="7" t="n"/>
    </row>
    <row r="236">
      <c r="B236" s="6" t="n"/>
      <c r="F236" s="7" t="n"/>
    </row>
    <row r="237">
      <c r="B237" s="6" t="n"/>
      <c r="F237" s="7" t="n"/>
    </row>
    <row r="238">
      <c r="B238" s="6" t="n"/>
      <c r="F238" s="7" t="n"/>
    </row>
    <row r="239">
      <c r="B239" s="6" t="n"/>
      <c r="F239" s="7" t="n"/>
    </row>
    <row r="240">
      <c r="B240" s="6" t="n"/>
      <c r="F240" s="7" t="n"/>
    </row>
    <row r="241">
      <c r="B241" s="6" t="n"/>
      <c r="F241" s="7" t="n"/>
    </row>
    <row r="242">
      <c r="B242" s="6" t="n"/>
      <c r="F242" s="7" t="n"/>
    </row>
    <row r="243">
      <c r="B243" s="6" t="n"/>
      <c r="F243" s="7" t="n"/>
    </row>
    <row r="244">
      <c r="B244" s="6" t="n"/>
      <c r="F244" s="7" t="n"/>
    </row>
    <row r="245">
      <c r="B245" s="6" t="n"/>
      <c r="F245" s="7" t="n"/>
    </row>
    <row r="246">
      <c r="B246" s="6" t="n"/>
      <c r="F246" s="7" t="n"/>
    </row>
    <row r="247">
      <c r="B247" s="6" t="n"/>
      <c r="F247" s="7" t="n"/>
    </row>
    <row r="248">
      <c r="B248" s="6" t="n"/>
      <c r="F248" s="7" t="n"/>
    </row>
    <row r="249">
      <c r="B249" s="6" t="n"/>
      <c r="F249" s="7" t="n"/>
    </row>
    <row r="250">
      <c r="B250" s="6" t="n"/>
      <c r="F250" s="7" t="n"/>
    </row>
    <row r="251">
      <c r="B251" s="6" t="n"/>
      <c r="F251" s="7" t="n"/>
    </row>
    <row r="252">
      <c r="B252" s="6" t="n"/>
      <c r="F252" s="7" t="n"/>
    </row>
    <row r="253">
      <c r="B253" s="6" t="n"/>
      <c r="F253" s="7" t="n"/>
    </row>
    <row r="254">
      <c r="B254" s="6" t="n"/>
      <c r="F254" s="7" t="n"/>
    </row>
    <row r="255">
      <c r="B255" s="6" t="n"/>
      <c r="F255" s="7" t="n"/>
    </row>
    <row r="256">
      <c r="B256" s="6" t="n"/>
      <c r="F256" s="7" t="n"/>
    </row>
    <row r="257">
      <c r="B257" s="6" t="n"/>
      <c r="F257" s="7" t="n"/>
    </row>
    <row r="258">
      <c r="B258" s="6" t="n"/>
      <c r="F258" s="7" t="n"/>
    </row>
    <row r="259">
      <c r="B259" s="6" t="n"/>
      <c r="F259" s="7" t="n"/>
    </row>
    <row r="260">
      <c r="B260" s="6" t="n"/>
      <c r="F260" s="7" t="n"/>
    </row>
    <row r="261">
      <c r="B261" s="6" t="n"/>
      <c r="F261" s="7" t="n"/>
    </row>
    <row r="262">
      <c r="B262" s="6" t="n"/>
      <c r="F262" s="7" t="n"/>
    </row>
    <row r="263">
      <c r="B263" s="6" t="n"/>
      <c r="F263" s="7" t="n"/>
    </row>
    <row r="264">
      <c r="B264" s="6" t="n"/>
      <c r="F264" s="7" t="n"/>
    </row>
    <row r="265">
      <c r="B265" s="6" t="n"/>
      <c r="F265" s="7" t="n"/>
    </row>
    <row r="266">
      <c r="B266" s="6" t="n"/>
      <c r="F266" s="7" t="n"/>
    </row>
    <row r="267">
      <c r="B267" s="6" t="n"/>
      <c r="F267" s="7" t="n"/>
    </row>
    <row r="268">
      <c r="B268" s="6" t="n"/>
      <c r="F268" s="7" t="n"/>
    </row>
    <row r="269">
      <c r="B269" s="6" t="n"/>
      <c r="F269" s="7" t="n"/>
    </row>
    <row r="270">
      <c r="B270" s="6" t="n"/>
      <c r="F270" s="7" t="n"/>
    </row>
    <row r="271">
      <c r="B271" s="6" t="n"/>
      <c r="F271" s="7" t="n"/>
    </row>
    <row r="272">
      <c r="B272" s="6" t="n"/>
      <c r="F272" s="7" t="n"/>
    </row>
    <row r="273">
      <c r="B273" s="6" t="n"/>
      <c r="F273" s="7" t="n"/>
    </row>
    <row r="274">
      <c r="B274" s="6" t="n"/>
      <c r="F274" s="7" t="n"/>
    </row>
    <row r="275">
      <c r="B275" s="6" t="n"/>
      <c r="F275" s="7" t="n"/>
    </row>
    <row r="276">
      <c r="B276" s="6" t="n"/>
      <c r="F276" s="7" t="n"/>
    </row>
    <row r="277">
      <c r="B277" s="6" t="n"/>
      <c r="F277" s="7" t="n"/>
    </row>
    <row r="278">
      <c r="B278" s="6" t="n"/>
      <c r="F278" s="7" t="n"/>
    </row>
    <row r="279">
      <c r="B279" s="6" t="n"/>
      <c r="F279" s="7" t="n"/>
    </row>
    <row r="280">
      <c r="B280" s="6" t="n"/>
      <c r="F280" s="7" t="n"/>
    </row>
    <row r="281">
      <c r="B281" s="6" t="n"/>
      <c r="F281" s="7" t="n"/>
    </row>
    <row r="282">
      <c r="B282" s="6" t="n"/>
      <c r="F282" s="7" t="n"/>
    </row>
    <row r="283">
      <c r="B283" s="6" t="n"/>
      <c r="F283" s="7" t="n"/>
    </row>
    <row r="284">
      <c r="B284" s="6" t="n"/>
      <c r="F284" s="7" t="n"/>
    </row>
    <row r="285">
      <c r="B285" s="6" t="n"/>
      <c r="F285" s="7" t="n"/>
    </row>
    <row r="286">
      <c r="B286" s="6" t="n"/>
      <c r="F286" s="7" t="n"/>
    </row>
    <row r="287">
      <c r="B287" s="6" t="n"/>
      <c r="F287" s="7" t="n"/>
    </row>
    <row r="288">
      <c r="B288" s="6" t="n"/>
      <c r="F288" s="7" t="n"/>
    </row>
    <row r="289">
      <c r="B289" s="6" t="n"/>
      <c r="F289" s="7" t="n"/>
    </row>
    <row r="290">
      <c r="B290" s="6" t="n"/>
      <c r="F290" s="7" t="n"/>
    </row>
    <row r="291">
      <c r="B291" s="6" t="n"/>
      <c r="F291" s="7" t="n"/>
    </row>
    <row r="292">
      <c r="B292" s="6" t="n"/>
      <c r="F292" s="7" t="n"/>
    </row>
    <row r="293">
      <c r="B293" s="6" t="n"/>
      <c r="F293" s="7" t="n"/>
    </row>
    <row r="294">
      <c r="B294" s="6" t="n"/>
      <c r="F294" s="7" t="n"/>
    </row>
    <row r="295">
      <c r="B295" s="6" t="n"/>
      <c r="F295" s="7" t="n"/>
    </row>
    <row r="296">
      <c r="B296" s="6" t="n"/>
      <c r="F296" s="7" t="n"/>
    </row>
    <row r="297">
      <c r="B297" s="6" t="n"/>
      <c r="F297" s="7" t="n"/>
    </row>
    <row r="298">
      <c r="B298" s="6" t="n"/>
      <c r="F298" s="7" t="n"/>
    </row>
    <row r="299">
      <c r="B299" s="6" t="n"/>
      <c r="F299" s="7" t="n"/>
    </row>
    <row r="300">
      <c r="B300" s="6" t="n"/>
      <c r="F300" s="7" t="n"/>
    </row>
    <row r="301">
      <c r="B301" s="6" t="n"/>
      <c r="F301" s="7" t="n"/>
    </row>
    <row r="302">
      <c r="B302" s="6" t="n"/>
      <c r="F302" s="7" t="n"/>
    </row>
    <row r="303">
      <c r="B303" s="6" t="n"/>
      <c r="F303" s="7" t="n"/>
    </row>
    <row r="304">
      <c r="B304" s="6" t="n"/>
      <c r="F304" s="7" t="n"/>
    </row>
    <row r="305">
      <c r="B305" s="6" t="n"/>
      <c r="F305" s="7" t="n"/>
    </row>
    <row r="306">
      <c r="B306" s="6" t="n"/>
      <c r="F306" s="7" t="n"/>
    </row>
    <row r="307">
      <c r="B307" s="6" t="n"/>
      <c r="F307" s="7" t="n"/>
    </row>
    <row r="308">
      <c r="B308" s="6" t="n"/>
      <c r="F308" s="7" t="n"/>
    </row>
    <row r="309">
      <c r="B309" s="6" t="n"/>
      <c r="F309" s="7" t="n"/>
    </row>
    <row r="310">
      <c r="B310" s="6" t="n"/>
      <c r="F310" s="7" t="n"/>
    </row>
    <row r="311">
      <c r="B311" s="6" t="n"/>
      <c r="F311" s="7" t="n"/>
    </row>
    <row r="312">
      <c r="B312" s="6" t="n"/>
      <c r="F312" s="7" t="n"/>
    </row>
    <row r="313">
      <c r="B313" s="6" t="n"/>
      <c r="F313" s="7" t="n"/>
    </row>
    <row r="314">
      <c r="B314" s="6" t="n"/>
      <c r="F314" s="7" t="n"/>
    </row>
    <row r="315">
      <c r="B315" s="6" t="n"/>
      <c r="F315" s="7" t="n"/>
    </row>
    <row r="316">
      <c r="B316" s="6" t="n"/>
      <c r="F316" s="7" t="n"/>
    </row>
    <row r="317">
      <c r="B317" s="6" t="n"/>
      <c r="F317" s="7" t="n"/>
    </row>
    <row r="318">
      <c r="B318" s="6" t="n"/>
      <c r="F318" s="7" t="n"/>
    </row>
    <row r="319">
      <c r="B319" s="6" t="n"/>
      <c r="F319" s="7" t="n"/>
    </row>
    <row r="320">
      <c r="B320" s="6" t="n"/>
      <c r="F320" s="7" t="n"/>
    </row>
    <row r="321">
      <c r="B321" s="6" t="n"/>
      <c r="F321" s="7" t="n"/>
    </row>
    <row r="322">
      <c r="B322" s="6" t="n"/>
      <c r="F322" s="7" t="n"/>
    </row>
    <row r="323">
      <c r="B323" s="6" t="n"/>
      <c r="F323" s="7" t="n"/>
    </row>
    <row r="324">
      <c r="B324" s="6" t="n"/>
      <c r="F324" s="7" t="n"/>
    </row>
    <row r="325">
      <c r="B325" s="6" t="n"/>
      <c r="F325" s="7" t="n"/>
    </row>
    <row r="326">
      <c r="B326" s="6" t="n"/>
      <c r="F326" s="7" t="n"/>
    </row>
    <row r="327">
      <c r="B327" s="6" t="n"/>
      <c r="F327" s="7" t="n"/>
    </row>
    <row r="328">
      <c r="B328" s="6" t="n"/>
      <c r="F328" s="7" t="n"/>
    </row>
    <row r="329">
      <c r="B329" s="6" t="n"/>
      <c r="F329" s="7" t="n"/>
    </row>
    <row r="330">
      <c r="B330" s="6" t="n"/>
      <c r="F330" s="7" t="n"/>
    </row>
    <row r="331">
      <c r="B331" s="6" t="n"/>
      <c r="F331" s="7" t="n"/>
    </row>
    <row r="332">
      <c r="B332" s="6" t="n"/>
      <c r="F332" s="7" t="n"/>
    </row>
    <row r="333">
      <c r="B333" s="6" t="n"/>
      <c r="F333" s="7" t="n"/>
    </row>
    <row r="334">
      <c r="B334" s="6" t="n"/>
      <c r="F334" s="7" t="n"/>
    </row>
    <row r="335">
      <c r="B335" s="6" t="n"/>
      <c r="F335" s="7" t="n"/>
    </row>
    <row r="336">
      <c r="B336" s="6" t="n"/>
      <c r="F336" s="7" t="n"/>
    </row>
    <row r="337">
      <c r="B337" s="6" t="n"/>
      <c r="F337" s="7" t="n"/>
    </row>
    <row r="338">
      <c r="B338" s="6" t="n"/>
      <c r="F338" s="7" t="n"/>
    </row>
    <row r="339">
      <c r="B339" s="6" t="n"/>
      <c r="F339" s="7" t="n"/>
    </row>
    <row r="340">
      <c r="B340" s="6" t="n"/>
      <c r="F340" s="7" t="n"/>
    </row>
    <row r="341">
      <c r="B341" s="6" t="n"/>
      <c r="F341" s="7" t="n"/>
    </row>
    <row r="342">
      <c r="B342" s="6" t="n"/>
      <c r="F342" s="7" t="n"/>
    </row>
    <row r="343">
      <c r="B343" s="6" t="n"/>
      <c r="F343" s="7" t="n"/>
    </row>
    <row r="344">
      <c r="B344" s="6" t="n"/>
      <c r="F344" s="7" t="n"/>
    </row>
    <row r="345">
      <c r="B345" s="6" t="n"/>
      <c r="F345" s="7" t="n"/>
    </row>
    <row r="346">
      <c r="B346" s="6" t="n"/>
      <c r="F346" s="7" t="n"/>
    </row>
    <row r="347">
      <c r="B347" s="6" t="n"/>
      <c r="F347" s="7" t="n"/>
    </row>
    <row r="348">
      <c r="B348" s="6" t="n"/>
      <c r="F348" s="7" t="n"/>
    </row>
    <row r="349">
      <c r="B349" s="6" t="n"/>
      <c r="F349" s="7" t="n"/>
    </row>
    <row r="350">
      <c r="B350" s="6" t="n"/>
      <c r="F350" s="7" t="n"/>
    </row>
    <row r="351">
      <c r="B351" s="6" t="n"/>
      <c r="F351" s="7" t="n"/>
    </row>
    <row r="352">
      <c r="B352" s="6" t="n"/>
      <c r="F352" s="7" t="n"/>
    </row>
    <row r="353">
      <c r="B353" s="6" t="n"/>
      <c r="F353" s="7" t="n"/>
    </row>
    <row r="354">
      <c r="B354" s="6" t="n"/>
      <c r="F354" s="7" t="n"/>
    </row>
    <row r="355">
      <c r="B355" s="6" t="n"/>
      <c r="F355" s="7" t="n"/>
    </row>
    <row r="356">
      <c r="B356" s="6" t="n"/>
      <c r="F356" s="7" t="n"/>
    </row>
    <row r="357">
      <c r="B357" s="6" t="n"/>
      <c r="F357" s="7" t="n"/>
    </row>
    <row r="358">
      <c r="B358" s="6" t="n"/>
      <c r="F358" s="7" t="n"/>
    </row>
    <row r="359">
      <c r="B359" s="6" t="n"/>
      <c r="F359" s="7" t="n"/>
    </row>
    <row r="360">
      <c r="B360" s="6" t="n"/>
      <c r="F360" s="7" t="n"/>
    </row>
    <row r="361">
      <c r="B361" s="6" t="n"/>
      <c r="F361" s="7" t="n"/>
    </row>
    <row r="362">
      <c r="B362" s="6" t="n"/>
      <c r="F362" s="7" t="n"/>
    </row>
    <row r="363">
      <c r="B363" s="6" t="n"/>
      <c r="F363" s="7" t="n"/>
    </row>
    <row r="364">
      <c r="B364" s="6" t="n"/>
      <c r="F364" s="7" t="n"/>
    </row>
    <row r="365">
      <c r="B365" s="6" t="n"/>
      <c r="F365" s="7" t="n"/>
    </row>
    <row r="366">
      <c r="B366" s="6" t="n"/>
      <c r="F366" s="7" t="n"/>
    </row>
    <row r="367">
      <c r="B367" s="6" t="n"/>
      <c r="F367" s="7" t="n"/>
    </row>
    <row r="368">
      <c r="B368" s="6" t="n"/>
      <c r="F368" s="7" t="n"/>
    </row>
    <row r="369">
      <c r="B369" s="6" t="n"/>
      <c r="F369" s="7" t="n"/>
    </row>
    <row r="370">
      <c r="B370" s="6" t="n"/>
      <c r="F370" s="7" t="n"/>
    </row>
    <row r="371">
      <c r="B371" s="6" t="n"/>
      <c r="F371" s="7" t="n"/>
    </row>
    <row r="372">
      <c r="B372" s="6" t="n"/>
      <c r="F372" s="7" t="n"/>
    </row>
    <row r="373">
      <c r="B373" s="6" t="n"/>
      <c r="F373" s="7" t="n"/>
    </row>
    <row r="374">
      <c r="B374" s="6" t="n"/>
      <c r="F374" s="7" t="n"/>
    </row>
    <row r="375">
      <c r="B375" s="6" t="n"/>
      <c r="F375" s="7" t="n"/>
    </row>
    <row r="376">
      <c r="B376" s="6" t="n"/>
      <c r="F376" s="7" t="n"/>
    </row>
    <row r="377">
      <c r="B377" s="6" t="n"/>
      <c r="F377" s="7" t="n"/>
    </row>
    <row r="378">
      <c r="B378" s="6" t="n"/>
      <c r="F378" s="7" t="n"/>
    </row>
    <row r="379">
      <c r="B379" s="6" t="n"/>
      <c r="F379" s="7" t="n"/>
    </row>
    <row r="380">
      <c r="B380" s="6" t="n"/>
      <c r="F380" s="7" t="n"/>
    </row>
    <row r="381">
      <c r="B381" s="6" t="n"/>
      <c r="F381" s="7" t="n"/>
    </row>
    <row r="382">
      <c r="B382" s="6" t="n"/>
      <c r="F382" s="7" t="n"/>
    </row>
    <row r="383">
      <c r="B383" s="6" t="n"/>
      <c r="F383" s="7" t="n"/>
    </row>
    <row r="384">
      <c r="B384" s="6" t="n"/>
      <c r="F384" s="7" t="n"/>
    </row>
    <row r="385">
      <c r="B385" s="6" t="n"/>
      <c r="F385" s="7" t="n"/>
    </row>
    <row r="386">
      <c r="B386" s="6" t="n"/>
      <c r="F386" s="7" t="n"/>
    </row>
    <row r="387">
      <c r="B387" s="6" t="n"/>
      <c r="F387" s="7" t="n"/>
    </row>
    <row r="388">
      <c r="B388" s="6" t="n"/>
      <c r="F388" s="7" t="n"/>
    </row>
    <row r="389">
      <c r="B389" s="6" t="n"/>
      <c r="F389" s="7" t="n"/>
    </row>
    <row r="390">
      <c r="B390" s="6" t="n"/>
      <c r="F390" s="7" t="n"/>
    </row>
    <row r="391">
      <c r="B391" s="6" t="n"/>
      <c r="F391" s="7" t="n"/>
    </row>
    <row r="392">
      <c r="B392" s="6" t="n"/>
      <c r="F392" s="7" t="n"/>
    </row>
    <row r="393">
      <c r="B393" s="6" t="n"/>
      <c r="F393" s="7" t="n"/>
    </row>
    <row r="394">
      <c r="B394" s="6" t="n"/>
      <c r="F394" s="7" t="n"/>
    </row>
    <row r="395">
      <c r="B395" s="6" t="n"/>
      <c r="F395" s="7" t="n"/>
    </row>
    <row r="396">
      <c r="B396" s="6" t="n"/>
      <c r="F396" s="7" t="n"/>
    </row>
    <row r="397">
      <c r="B397" s="6" t="n"/>
      <c r="F397" s="7" t="n"/>
    </row>
    <row r="398">
      <c r="B398" s="6" t="n"/>
      <c r="F398" s="7" t="n"/>
    </row>
    <row r="399">
      <c r="B399" s="6" t="n"/>
      <c r="F399" s="7" t="n"/>
    </row>
    <row r="400">
      <c r="B400" s="6" t="n"/>
      <c r="F400" s="7" t="n"/>
    </row>
    <row r="401">
      <c r="B401" s="6" t="n"/>
      <c r="F401" s="7" t="n"/>
    </row>
    <row r="402">
      <c r="B402" s="6" t="n"/>
      <c r="F402" s="7" t="n"/>
    </row>
    <row r="403">
      <c r="B403" s="6" t="n"/>
      <c r="F403" s="7" t="n"/>
    </row>
    <row r="404">
      <c r="B404" s="6" t="n"/>
      <c r="F404" s="7" t="n"/>
    </row>
    <row r="405">
      <c r="B405" s="6" t="n"/>
      <c r="F405" s="7" t="n"/>
    </row>
    <row r="406">
      <c r="B406" s="6" t="n"/>
      <c r="F406" s="7" t="n"/>
    </row>
    <row r="407">
      <c r="B407" s="6" t="n"/>
      <c r="F407" s="7" t="n"/>
    </row>
    <row r="408">
      <c r="B408" s="6" t="n"/>
      <c r="F408" s="7" t="n"/>
    </row>
    <row r="409">
      <c r="B409" s="6" t="n"/>
      <c r="F409" s="7" t="n"/>
    </row>
    <row r="410">
      <c r="B410" s="6" t="n"/>
      <c r="F410" s="7" t="n"/>
    </row>
    <row r="411">
      <c r="B411" s="6" t="n"/>
      <c r="F411" s="7" t="n"/>
    </row>
    <row r="412">
      <c r="B412" s="6" t="n"/>
      <c r="F412" s="7" t="n"/>
    </row>
    <row r="413">
      <c r="B413" s="6" t="n"/>
      <c r="F413" s="7" t="n"/>
    </row>
    <row r="414">
      <c r="B414" s="6" t="n"/>
      <c r="F414" s="7" t="n"/>
    </row>
    <row r="415">
      <c r="B415" s="6" t="n"/>
      <c r="F415" s="7" t="n"/>
    </row>
    <row r="416">
      <c r="B416" s="6" t="n"/>
      <c r="F416" s="7" t="n"/>
    </row>
    <row r="417">
      <c r="B417" s="6" t="n"/>
      <c r="F417" s="7" t="n"/>
    </row>
    <row r="418">
      <c r="B418" s="6" t="n"/>
      <c r="F418" s="7" t="n"/>
    </row>
    <row r="419">
      <c r="B419" s="6" t="n"/>
      <c r="F419" s="7" t="n"/>
    </row>
    <row r="420">
      <c r="B420" s="6" t="n"/>
      <c r="F420" s="7" t="n"/>
    </row>
    <row r="421">
      <c r="B421" s="6" t="n"/>
      <c r="F421" s="7" t="n"/>
    </row>
    <row r="422">
      <c r="B422" s="6" t="n"/>
      <c r="F422" s="7" t="n"/>
    </row>
    <row r="423">
      <c r="B423" s="6" t="n"/>
      <c r="F423" s="7" t="n"/>
    </row>
    <row r="424">
      <c r="B424" s="6" t="n"/>
      <c r="F424" s="7" t="n"/>
    </row>
    <row r="425">
      <c r="B425" s="6" t="n"/>
      <c r="F425" s="7" t="n"/>
    </row>
    <row r="426">
      <c r="B426" s="6" t="n"/>
      <c r="F426" s="7" t="n"/>
    </row>
    <row r="427">
      <c r="B427" s="6" t="n"/>
      <c r="F427" s="7" t="n"/>
    </row>
    <row r="428">
      <c r="B428" s="6" t="n"/>
      <c r="F428" s="7" t="n"/>
    </row>
    <row r="429">
      <c r="B429" s="6" t="n"/>
      <c r="F429" s="7" t="n"/>
    </row>
    <row r="430">
      <c r="B430" s="6" t="n"/>
      <c r="F430" s="7" t="n"/>
    </row>
    <row r="431">
      <c r="B431" s="6" t="n"/>
      <c r="F431" s="7" t="n"/>
    </row>
    <row r="432">
      <c r="B432" s="6" t="n"/>
      <c r="F432" s="7" t="n"/>
    </row>
    <row r="433">
      <c r="B433" s="6" t="n"/>
      <c r="F433" s="7" t="n"/>
    </row>
    <row r="434">
      <c r="B434" s="6" t="n"/>
      <c r="F434" s="7" t="n"/>
    </row>
    <row r="435">
      <c r="B435" s="6" t="n"/>
      <c r="F435" s="7" t="n"/>
    </row>
    <row r="436">
      <c r="B436" s="6" t="n"/>
      <c r="F436" s="7" t="n"/>
    </row>
    <row r="437">
      <c r="B437" s="6" t="n"/>
      <c r="F437" s="7" t="n"/>
    </row>
    <row r="438">
      <c r="B438" s="6" t="n"/>
      <c r="F438" s="7" t="n"/>
    </row>
    <row r="439">
      <c r="B439" s="6" t="n"/>
      <c r="F439" s="7" t="n"/>
    </row>
    <row r="440">
      <c r="B440" s="6" t="n"/>
      <c r="F440" s="7" t="n"/>
    </row>
    <row r="441">
      <c r="B441" s="6" t="n"/>
      <c r="F441" s="7" t="n"/>
    </row>
    <row r="442">
      <c r="B442" s="6" t="n"/>
      <c r="F442" s="7" t="n"/>
    </row>
    <row r="443">
      <c r="B443" s="6" t="n"/>
      <c r="F443" s="7" t="n"/>
    </row>
    <row r="444">
      <c r="B444" s="6" t="n"/>
      <c r="F444" s="7" t="n"/>
    </row>
    <row r="445">
      <c r="B445" s="6" t="n"/>
      <c r="F445" s="7" t="n"/>
    </row>
    <row r="446">
      <c r="B446" s="6" t="n"/>
      <c r="F446" s="7" t="n"/>
    </row>
    <row r="447">
      <c r="B447" s="6" t="n"/>
      <c r="F447" s="7" t="n"/>
    </row>
    <row r="448">
      <c r="B448" s="6" t="n"/>
      <c r="F448" s="7" t="n"/>
    </row>
    <row r="449">
      <c r="B449" s="6" t="n"/>
      <c r="F449" s="7" t="n"/>
    </row>
    <row r="450">
      <c r="B450" s="6" t="n"/>
      <c r="F450" s="7" t="n"/>
    </row>
    <row r="451">
      <c r="B451" s="6" t="n"/>
      <c r="F451" s="7" t="n"/>
    </row>
    <row r="452">
      <c r="B452" s="6" t="n"/>
      <c r="F452" s="7" t="n"/>
    </row>
    <row r="453">
      <c r="B453" s="6" t="n"/>
      <c r="F453" s="7" t="n"/>
    </row>
    <row r="454">
      <c r="B454" s="6" t="n"/>
      <c r="F454" s="7" t="n"/>
    </row>
    <row r="455">
      <c r="B455" s="6" t="n"/>
      <c r="F455" s="7" t="n"/>
    </row>
    <row r="456">
      <c r="B456" s="6" t="n"/>
      <c r="F456" s="7" t="n"/>
    </row>
    <row r="457">
      <c r="B457" s="6" t="n"/>
      <c r="F457" s="7" t="n"/>
    </row>
    <row r="458">
      <c r="B458" s="6" t="n"/>
      <c r="F458" s="7" t="n"/>
    </row>
    <row r="459">
      <c r="B459" s="6" t="n"/>
      <c r="F459" s="7" t="n"/>
    </row>
    <row r="460">
      <c r="B460" s="6" t="n"/>
      <c r="F460" s="7" t="n"/>
    </row>
    <row r="461">
      <c r="B461" s="6" t="n"/>
      <c r="F461" s="7" t="n"/>
    </row>
    <row r="462">
      <c r="B462" s="6" t="n"/>
      <c r="F462" s="7" t="n"/>
    </row>
    <row r="463">
      <c r="B463" s="6" t="n"/>
      <c r="F463" s="7" t="n"/>
    </row>
    <row r="464">
      <c r="B464" s="6" t="n"/>
      <c r="F464" s="7" t="n"/>
    </row>
    <row r="465">
      <c r="B465" s="6" t="n"/>
      <c r="F465" s="7" t="n"/>
    </row>
    <row r="466">
      <c r="B466" s="6" t="n"/>
      <c r="F466" s="7" t="n"/>
    </row>
    <row r="467">
      <c r="B467" s="6" t="n"/>
      <c r="F467" s="7" t="n"/>
    </row>
    <row r="468">
      <c r="B468" s="6" t="n"/>
      <c r="F468" s="7" t="n"/>
    </row>
    <row r="469">
      <c r="B469" s="6" t="n"/>
      <c r="F469" s="7" t="n"/>
    </row>
    <row r="470">
      <c r="B470" s="6" t="n"/>
      <c r="F470" s="7" t="n"/>
    </row>
    <row r="471">
      <c r="B471" s="6" t="n"/>
      <c r="F471" s="7" t="n"/>
    </row>
    <row r="472">
      <c r="B472" s="6" t="n"/>
      <c r="F472" s="7" t="n"/>
    </row>
    <row r="473">
      <c r="B473" s="6" t="n"/>
      <c r="F473" s="7" t="n"/>
    </row>
    <row r="474">
      <c r="B474" s="6" t="n"/>
      <c r="F474" s="7" t="n"/>
    </row>
    <row r="475">
      <c r="B475" s="6" t="n"/>
      <c r="F475" s="7" t="n"/>
    </row>
    <row r="476">
      <c r="B476" s="6" t="n"/>
      <c r="F476" s="7" t="n"/>
    </row>
    <row r="477">
      <c r="B477" s="6" t="n"/>
      <c r="F477" s="7" t="n"/>
    </row>
    <row r="478">
      <c r="B478" s="6" t="n"/>
      <c r="F478" s="7" t="n"/>
    </row>
    <row r="479">
      <c r="B479" s="6" t="n"/>
      <c r="F479" s="7" t="n"/>
    </row>
    <row r="480">
      <c r="B480" s="6" t="n"/>
      <c r="F480" s="7" t="n"/>
    </row>
    <row r="481">
      <c r="B481" s="6" t="n"/>
      <c r="F481" s="7" t="n"/>
    </row>
    <row r="482">
      <c r="B482" s="6" t="n"/>
      <c r="F482" s="7" t="n"/>
    </row>
    <row r="483">
      <c r="B483" s="6" t="n"/>
      <c r="F483" s="7" t="n"/>
    </row>
    <row r="484">
      <c r="B484" s="6" t="n"/>
      <c r="F484" s="7" t="n"/>
    </row>
    <row r="485">
      <c r="B485" s="6" t="n"/>
      <c r="F485" s="7" t="n"/>
    </row>
    <row r="486">
      <c r="B486" s="6" t="n"/>
      <c r="F486" s="7" t="n"/>
    </row>
    <row r="487">
      <c r="B487" s="6" t="n"/>
      <c r="F487" s="7" t="n"/>
    </row>
    <row r="488">
      <c r="B488" s="6" t="n"/>
      <c r="F488" s="7" t="n"/>
    </row>
    <row r="489">
      <c r="B489" s="6" t="n"/>
      <c r="F489" s="7" t="n"/>
    </row>
    <row r="490">
      <c r="B490" s="6" t="n"/>
      <c r="F490" s="7" t="n"/>
    </row>
    <row r="491">
      <c r="B491" s="6" t="n"/>
      <c r="F491" s="7" t="n"/>
    </row>
    <row r="492">
      <c r="B492" s="6" t="n"/>
      <c r="F492" s="7" t="n"/>
    </row>
    <row r="493">
      <c r="B493" s="6" t="n"/>
      <c r="F493" s="7" t="n"/>
    </row>
    <row r="494">
      <c r="B494" s="6" t="n"/>
      <c r="F494" s="7" t="n"/>
    </row>
    <row r="495">
      <c r="B495" s="6" t="n"/>
      <c r="F495" s="7" t="n"/>
    </row>
    <row r="496">
      <c r="B496" s="6" t="n"/>
      <c r="F496" s="7" t="n"/>
    </row>
    <row r="497">
      <c r="B497" s="6" t="n"/>
      <c r="F497" s="7" t="n"/>
    </row>
    <row r="498">
      <c r="B498" s="6" t="n"/>
      <c r="F498" s="7" t="n"/>
    </row>
    <row r="499">
      <c r="B499" s="6" t="n"/>
      <c r="F499" s="7" t="n"/>
    </row>
    <row r="500">
      <c r="B500" s="6" t="n"/>
      <c r="F500" s="7" t="n"/>
    </row>
    <row r="501">
      <c r="B501" s="6" t="n"/>
      <c r="F501" s="7" t="n"/>
    </row>
    <row r="503">
      <c r="A503" s="8" t="inlineStr">
        <is>
          <t>TIPO: ENVIO · RESPOSTA · VENDA · OPTOUT. Só esses quatro. No mês 1 é preenchido na mão; a partir do mês 2, pela automação.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2" customWidth="1" min="5" max="5"/>
    <col width="24" customWidth="1" min="6" max="6"/>
    <col width="20" customWidth="1" min="7" max="7"/>
    <col width="20" customWidth="1" min="8" max="8"/>
  </cols>
  <sheetData>
    <row r="1">
      <c r="A1" s="1" t="inlineStr">
        <is>
          <t>PLACAR COMPARTILHADO</t>
        </is>
      </c>
    </row>
    <row r="2">
      <c r="A2" s="8" t="inlineStr">
        <is>
          <t>Duas colunas: o que a Expansion entregou e o que a loja respondeu. Vai no grupo toda segunda, sempre no mesmo formato.</t>
        </is>
      </c>
    </row>
    <row r="3">
      <c r="A3" s="3" t="inlineStr">
        <is>
          <t>LADO EXPANSION</t>
        </is>
      </c>
      <c r="E3" s="3" t="inlineStr">
        <is>
          <t>LADO LOJA</t>
        </is>
      </c>
      <c r="H3" s="3" t="inlineStr">
        <is>
          <t>COMPARTILHADO</t>
        </is>
      </c>
    </row>
    <row r="4">
      <c r="A4" s="16" t="inlineStr">
        <is>
          <t>SEMANA</t>
        </is>
      </c>
      <c r="B4" s="16" t="inlineStr">
        <is>
          <t>MENSAGENS ENVIADAS</t>
        </is>
      </c>
      <c r="C4" s="16" t="inlineStr">
        <is>
          <t>CONVERSAS GERADAS</t>
        </is>
      </c>
      <c r="D4" s="16" t="inlineStr">
        <is>
          <t>CUSTO POR CONVERSA</t>
        </is>
      </c>
      <c r="E4" s="17" t="inlineStr">
        <is>
          <t>TEMPO 1A RESPOSTA (MIN)</t>
        </is>
      </c>
      <c r="F4" s="17" t="inlineStr">
        <is>
          <t>TAXA DE RESPOSTA DA LOJA</t>
        </is>
      </c>
      <c r="G4" s="17" t="inlineStr">
        <is>
          <t>SEM RESPOSTA EM 24H</t>
        </is>
      </c>
      <c r="H4" s="17" t="inlineStr">
        <is>
          <t>VENDAS ATRIBUIDAS</t>
        </is>
      </c>
    </row>
    <row r="5">
      <c r="A5" s="6" t="n"/>
      <c r="D5" s="10" t="n"/>
      <c r="F5" s="13" t="n"/>
      <c r="H5" s="10" t="n"/>
    </row>
    <row r="6">
      <c r="A6" s="6" t="n"/>
      <c r="D6" s="10" t="n"/>
      <c r="F6" s="13" t="n"/>
      <c r="H6" s="10" t="n"/>
    </row>
    <row r="7">
      <c r="A7" s="6" t="n"/>
      <c r="D7" s="10" t="n"/>
      <c r="F7" s="13" t="n"/>
      <c r="H7" s="10" t="n"/>
    </row>
    <row r="8">
      <c r="A8" s="6" t="n"/>
      <c r="D8" s="10" t="n"/>
      <c r="F8" s="13" t="n"/>
      <c r="H8" s="10" t="n"/>
    </row>
    <row r="9">
      <c r="A9" s="6" t="n"/>
      <c r="D9" s="10" t="n"/>
      <c r="F9" s="13" t="n"/>
      <c r="H9" s="10" t="n"/>
    </row>
    <row r="10">
      <c r="A10" s="6" t="n"/>
      <c r="D10" s="10" t="n"/>
      <c r="F10" s="13" t="n"/>
      <c r="H10" s="10" t="n"/>
    </row>
    <row r="11">
      <c r="A11" s="6" t="n"/>
      <c r="D11" s="10" t="n"/>
      <c r="F11" s="13" t="n"/>
      <c r="H11" s="10" t="n"/>
    </row>
    <row r="12">
      <c r="A12" s="6" t="n"/>
      <c r="D12" s="10" t="n"/>
      <c r="F12" s="13" t="n"/>
      <c r="H12" s="10" t="n"/>
    </row>
    <row r="13">
      <c r="A13" s="6" t="n"/>
      <c r="D13" s="10" t="n"/>
      <c r="F13" s="13" t="n"/>
      <c r="H13" s="10" t="n"/>
    </row>
    <row r="14">
      <c r="A14" s="6" t="n"/>
      <c r="D14" s="10" t="n"/>
      <c r="F14" s="13" t="n"/>
      <c r="H14" s="10" t="n"/>
    </row>
    <row r="15">
      <c r="A15" s="6" t="n"/>
      <c r="D15" s="10" t="n"/>
      <c r="F15" s="13" t="n"/>
      <c r="H15" s="10" t="n"/>
    </row>
    <row r="16">
      <c r="A16" s="6" t="n"/>
      <c r="D16" s="10" t="n"/>
      <c r="F16" s="13" t="n"/>
      <c r="H16" s="10" t="n"/>
    </row>
    <row r="17">
      <c r="A17" s="6" t="n"/>
      <c r="D17" s="10" t="n"/>
      <c r="F17" s="13" t="n"/>
      <c r="H17" s="10" t="n"/>
    </row>
    <row r="18">
      <c r="A18" s="6" t="n"/>
      <c r="D18" s="10" t="n"/>
      <c r="F18" s="13" t="n"/>
      <c r="H18" s="10" t="n"/>
    </row>
    <row r="19">
      <c r="A19" s="6" t="n"/>
      <c r="D19" s="10" t="n"/>
      <c r="F19" s="13" t="n"/>
      <c r="H19" s="10" t="n"/>
    </row>
    <row r="20">
      <c r="A20" s="6" t="n"/>
      <c r="D20" s="10" t="n"/>
      <c r="F20" s="13" t="n"/>
      <c r="H20" s="10" t="n"/>
    </row>
    <row r="21">
      <c r="A21" s="6" t="n"/>
      <c r="D21" s="10" t="n"/>
      <c r="F21" s="13" t="n"/>
      <c r="H21" s="10" t="n"/>
    </row>
    <row r="22">
      <c r="A22" s="6" t="n"/>
      <c r="D22" s="10" t="n"/>
      <c r="F22" s="13" t="n"/>
      <c r="H22" s="10" t="n"/>
    </row>
    <row r="23">
      <c r="A23" s="6" t="n"/>
      <c r="D23" s="10" t="n"/>
      <c r="F23" s="13" t="n"/>
      <c r="H23" s="10" t="n"/>
    </row>
    <row r="24">
      <c r="A24" s="6" t="n"/>
      <c r="D24" s="10" t="n"/>
      <c r="F24" s="13" t="n"/>
      <c r="H24" s="10" t="n"/>
    </row>
    <row r="25">
      <c r="A25" s="6" t="n"/>
      <c r="D25" s="10" t="n"/>
      <c r="F25" s="13" t="n"/>
      <c r="H25" s="10" t="n"/>
    </row>
    <row r="26">
      <c r="A26" s="6" t="n"/>
      <c r="D26" s="10" t="n"/>
      <c r="F26" s="13" t="n"/>
      <c r="H26" s="10" t="n"/>
    </row>
    <row r="27">
      <c r="A27" s="6" t="n"/>
      <c r="D27" s="10" t="n"/>
      <c r="F27" s="13" t="n"/>
      <c r="H27" s="10" t="n"/>
    </row>
    <row r="28">
      <c r="A28" s="6" t="n"/>
      <c r="D28" s="10" t="n"/>
      <c r="F28" s="13" t="n"/>
      <c r="H28" s="10" t="n"/>
    </row>
    <row r="29">
      <c r="A29" s="6" t="n"/>
      <c r="D29" s="10" t="n"/>
      <c r="F29" s="13" t="n"/>
      <c r="H29" s="10" t="n"/>
    </row>
    <row r="30">
      <c r="A30" s="6" t="n"/>
      <c r="D30" s="10" t="n"/>
      <c r="F30" s="13" t="n"/>
      <c r="H30" s="10" t="n"/>
    </row>
    <row r="31">
      <c r="A31" s="6" t="n"/>
      <c r="D31" s="10" t="n"/>
      <c r="F31" s="13" t="n"/>
      <c r="H31" s="10" t="n"/>
    </row>
    <row r="32">
      <c r="A32" s="6" t="n"/>
      <c r="D32" s="10" t="n"/>
      <c r="F32" s="13" t="n"/>
      <c r="H32" s="10" t="n"/>
    </row>
    <row r="33">
      <c r="A33" s="6" t="n"/>
      <c r="D33" s="10" t="n"/>
      <c r="F33" s="13" t="n"/>
      <c r="H33" s="10" t="n"/>
    </row>
    <row r="34">
      <c r="A34" s="6" t="n"/>
      <c r="D34" s="10" t="n"/>
      <c r="F34" s="13" t="n"/>
      <c r="H34" s="10" t="n"/>
    </row>
    <row r="35">
      <c r="A35" s="6" t="n"/>
      <c r="D35" s="10" t="n"/>
      <c r="F35" s="13" t="n"/>
      <c r="H35" s="10" t="n"/>
    </row>
    <row r="36">
      <c r="A36" s="6" t="n"/>
      <c r="D36" s="10" t="n"/>
      <c r="F36" s="13" t="n"/>
      <c r="H36" s="10" t="n"/>
    </row>
    <row r="37">
      <c r="A37" s="6" t="n"/>
      <c r="D37" s="10" t="n"/>
      <c r="F37" s="13" t="n"/>
      <c r="H37" s="10" t="n"/>
    </row>
    <row r="38">
      <c r="A38" s="6" t="n"/>
      <c r="D38" s="10" t="n"/>
      <c r="F38" s="13" t="n"/>
      <c r="H38" s="10" t="n"/>
    </row>
    <row r="39">
      <c r="A39" s="6" t="n"/>
      <c r="D39" s="10" t="n"/>
      <c r="F39" s="13" t="n"/>
      <c r="H39" s="10" t="n"/>
    </row>
    <row r="40">
      <c r="A40" s="6" t="n"/>
      <c r="D40" s="10" t="n"/>
      <c r="F40" s="13" t="n"/>
      <c r="H40" s="10" t="n"/>
    </row>
    <row r="41">
      <c r="A41" s="6" t="n"/>
      <c r="D41" s="10" t="n"/>
      <c r="F41" s="13" t="n"/>
      <c r="H41" s="10" t="n"/>
    </row>
    <row r="42">
      <c r="A42" s="6" t="n"/>
      <c r="D42" s="10" t="n"/>
      <c r="F42" s="13" t="n"/>
      <c r="H42" s="10" t="n"/>
    </row>
    <row r="43">
      <c r="A43" s="6" t="n"/>
      <c r="D43" s="10" t="n"/>
      <c r="F43" s="13" t="n"/>
      <c r="H43" s="10" t="n"/>
    </row>
    <row r="44">
      <c r="A44" s="6" t="n"/>
      <c r="D44" s="10" t="n"/>
      <c r="F44" s="13" t="n"/>
      <c r="H44" s="10" t="n"/>
    </row>
    <row r="45">
      <c r="A45" s="6" t="n"/>
      <c r="D45" s="10" t="n"/>
      <c r="F45" s="13" t="n"/>
      <c r="H45" s="10" t="n"/>
    </row>
    <row r="46">
      <c r="A46" s="6" t="n"/>
      <c r="D46" s="10" t="n"/>
      <c r="F46" s="13" t="n"/>
      <c r="H46" s="10" t="n"/>
    </row>
    <row r="47">
      <c r="A47" s="6" t="n"/>
      <c r="D47" s="10" t="n"/>
      <c r="F47" s="13" t="n"/>
      <c r="H47" s="10" t="n"/>
    </row>
    <row r="48">
      <c r="A48" s="6" t="n"/>
      <c r="D48" s="10" t="n"/>
      <c r="F48" s="13" t="n"/>
      <c r="H48" s="10" t="n"/>
    </row>
    <row r="49">
      <c r="A49" s="6" t="n"/>
      <c r="D49" s="10" t="n"/>
      <c r="F49" s="13" t="n"/>
      <c r="H49" s="10" t="n"/>
    </row>
    <row r="50">
      <c r="A50" s="6" t="n"/>
      <c r="D50" s="10" t="n"/>
      <c r="F50" s="13" t="n"/>
      <c r="H50" s="10" t="n"/>
    </row>
    <row r="51">
      <c r="A51" s="6" t="n"/>
      <c r="D51" s="10" t="n"/>
      <c r="F51" s="13" t="n"/>
      <c r="H51" s="10" t="n"/>
    </row>
    <row r="52">
      <c r="A52" s="6" t="n"/>
      <c r="D52" s="10" t="n"/>
      <c r="F52" s="13" t="n"/>
      <c r="H52" s="10" t="n"/>
    </row>
    <row r="53">
      <c r="A53" s="6" t="n"/>
      <c r="D53" s="10" t="n"/>
      <c r="F53" s="13" t="n"/>
      <c r="H53" s="10" t="n"/>
    </row>
    <row r="54">
      <c r="A54" s="6" t="n"/>
      <c r="D54" s="10" t="n"/>
      <c r="F54" s="13" t="n"/>
      <c r="H54" s="10" t="n"/>
    </row>
    <row r="55">
      <c r="A55" s="6" t="n"/>
      <c r="D55" s="10" t="n"/>
      <c r="F55" s="13" t="n"/>
      <c r="H55" s="10" t="n"/>
    </row>
    <row r="56">
      <c r="A56" s="6" t="n"/>
      <c r="D56" s="10" t="n"/>
      <c r="F56" s="13" t="n"/>
      <c r="H56" s="10" t="n"/>
    </row>
    <row r="57">
      <c r="A57" s="6" t="n"/>
      <c r="D57" s="10" t="n"/>
      <c r="F57" s="13" t="n"/>
      <c r="H57" s="10" t="n"/>
    </row>
    <row r="58">
      <c r="A58" s="6" t="n"/>
      <c r="D58" s="10" t="n"/>
      <c r="F58" s="13" t="n"/>
      <c r="H58" s="10" t="n"/>
    </row>
    <row r="59">
      <c r="A59" s="6" t="n"/>
      <c r="D59" s="10" t="n"/>
      <c r="F59" s="13" t="n"/>
      <c r="H59" s="10" t="n"/>
    </row>
    <row r="61">
      <c r="A61" s="8" t="inlineStr">
        <is>
          <t>As três colunas azuis são responsabilidade DELE. É esta separação que impede o cliente de culpar a Expansion por algo que é dele.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2026-08-08T09:33:22Z</dcterms:created>
  <dcterms:modified xsi:type="dcterms:W3CDTF">2026-08-08T09:33:22Z</dcterms:modified>
</cp:coreProperties>
</file>